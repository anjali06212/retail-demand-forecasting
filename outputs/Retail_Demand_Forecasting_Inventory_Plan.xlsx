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mand &amp; Product Analysis" sheetId="2" state="visible" r:id="rId2"/>
    <sheet name="ABC-XYZ Matrix" sheetId="3" state="visible" r:id="rId3"/>
    <sheet name="Forecast &amp; Inventory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%"/>
    <numFmt numFmtId="166" formatCode="#,##0.000"/>
    <numFmt numFmtId="167" formatCode="+0.00%;-0.00%"/>
  </numFmts>
  <fonts count="8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i val="1"/>
      <color rgb="0064748B"/>
      <sz val="11"/>
    </font>
    <font>
      <name val="Segoe UI"/>
      <b val="1"/>
      <color rgb="002563EB"/>
      <sz val="18"/>
    </font>
    <font>
      <name val="Segoe UI"/>
      <b val="1"/>
      <color rgb="000F172A"/>
      <sz val="13"/>
    </font>
    <font>
      <name val="Segoe UI"/>
      <b val="1"/>
      <color rgb="000F172A"/>
      <sz val="10"/>
    </font>
    <font>
      <name val="Segoe UI"/>
      <color rgb="001E293B"/>
      <sz val="10"/>
    </font>
    <font>
      <name val="Segoe U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334155"/>
        <bgColor rgb="00334155"/>
      </patternFill>
    </fill>
  </fills>
  <borders count="3">
    <border>
      <left/>
      <right/>
      <top/>
      <bottom/>
      <diagonal/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/>
    </xf>
    <xf numFmtId="164" fontId="6" fillId="0" borderId="2" pivotButton="0" quotePrefix="0" xfId="0"/>
    <xf numFmtId="3" fontId="6" fillId="0" borderId="2" pivotButton="0" quotePrefix="0" xfId="0"/>
    <xf numFmtId="4" fontId="6" fillId="0" borderId="2" pivotButton="0" quotePrefix="0" xfId="0"/>
    <xf numFmtId="165" fontId="6" fillId="0" borderId="2" pivotButton="0" quotePrefix="0" xfId="0"/>
    <xf numFmtId="0" fontId="5" fillId="4" borderId="2" applyAlignment="1" pivotButton="0" quotePrefix="0" xfId="0">
      <alignment horizontal="center"/>
    </xf>
    <xf numFmtId="0" fontId="7" fillId="3" borderId="0" applyAlignment="1" pivotButton="0" quotePrefix="0" xfId="0">
      <alignment horizontal="center" vertical="center" wrapText="1"/>
    </xf>
    <xf numFmtId="0" fontId="5" fillId="0" borderId="2" pivotButton="0" quotePrefix="0" xfId="0"/>
    <xf numFmtId="0" fontId="0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7" fillId="5" borderId="0" applyAlignment="1" pivotButton="0" quotePrefix="0" xfId="0">
      <alignment horizontal="center" vertical="center"/>
    </xf>
    <xf numFmtId="0" fontId="6" fillId="0" borderId="2" pivotButton="0" quotePrefix="0" xfId="0"/>
    <xf numFmtId="166" fontId="6" fillId="0" borderId="2" pivotButton="0" quotePrefix="0" xfId="0"/>
    <xf numFmtId="10" fontId="5" fillId="0" borderId="2" pivotButton="0" quotePrefix="0" xfId="0"/>
    <xf numFmtId="167" fontId="6" fillId="0" borderId="2" pivotButton="0" quotePrefix="0" xfId="0"/>
    <xf numFmtId="0" fontId="7" fillId="5" borderId="0" applyAlignment="1" pivotButton="0" quotePrefix="0" xfId="0">
      <alignment horizontal="center" vertical="center" wrapText="1"/>
    </xf>
    <xf numFmtId="165" fontId="6" fillId="0" borderId="2" applyAlignment="1" pivotButton="0" quotePrefix="0" xfId="0">
      <alignment horizontal="center"/>
    </xf>
    <xf numFmtId="2" fontId="6" fillId="0" borderId="2" applyAlignment="1" pivotButton="0" quotePrefix="0" xfId="0">
      <alignment horizontal="center"/>
    </xf>
    <xf numFmtId="4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1" customWidth="1" min="2" max="2"/>
    <col width="125" customWidth="1" min="3" max="3"/>
    <col width="12" customWidth="1" min="4" max="4"/>
    <col width="31" customWidth="1" min="5" max="5"/>
    <col width="12" customWidth="1" min="6" max="6"/>
    <col width="12" customWidth="1" min="7" max="7"/>
    <col width="22" customWidth="1" min="8" max="8"/>
    <col width="12" customWidth="1" min="9" max="9"/>
    <col width="12" customWidth="1" min="10" max="10"/>
    <col width="30" customWidth="1" min="11" max="11"/>
    <col width="12" customWidth="1" min="12" max="12"/>
    <col width="12" customWidth="1" min="13" max="13"/>
  </cols>
  <sheetData>
    <row r="1"/>
    <row r="2">
      <c r="B2" s="1" t="inlineStr">
        <is>
          <t>Retail Demand Forecasting &amp; Inventory Planning</t>
        </is>
      </c>
    </row>
    <row r="3">
      <c r="B3" s="2" t="inlineStr">
        <is>
          <t>Executive Portfolio Summary | Target Store: CA_1 | Category: FOODS_1</t>
        </is>
      </c>
    </row>
    <row r="4"/>
    <row r="5">
      <c r="B5" s="3" t="inlineStr">
        <is>
          <t>$1,303,428.49
Total Historical Revenue</t>
        </is>
      </c>
      <c r="C5" s="4" t="n"/>
      <c r="D5" s="4" t="n"/>
      <c r="E5" s="3" t="inlineStr">
        <is>
          <t>567,849
Total Units Sold</t>
        </is>
      </c>
      <c r="F5" s="4" t="n"/>
      <c r="G5" s="4" t="n"/>
      <c r="H5" s="3" t="inlineStr">
        <is>
          <t>216
Active SKUs Tracked</t>
        </is>
      </c>
      <c r="I5" s="4" t="n"/>
      <c r="J5" s="4" t="n"/>
      <c r="K5" s="3" t="inlineStr">
        <is>
          <t>1913
Historical Tracking Days</t>
        </is>
      </c>
      <c r="L5" s="4" t="n"/>
      <c r="M5" s="4" t="n"/>
    </row>
    <row r="6"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/>
    <row r="8">
      <c r="B8" s="3" t="inlineStr">
        <is>
          <t>59.3%
Zero-Demand Day %</t>
        </is>
      </c>
      <c r="C8" s="4" t="n"/>
      <c r="D8" s="4" t="n"/>
      <c r="E8" s="3" t="inlineStr">
        <is>
          <t>28-Day Simple Moving Average
Best Forecast Model</t>
        </is>
      </c>
      <c r="F8" s="4" t="n"/>
      <c r="G8" s="4" t="n"/>
      <c r="H8" s="3" t="inlineStr">
        <is>
          <t>88.81%
Best Forecast WAPE</t>
        </is>
      </c>
      <c r="I8" s="4" t="n"/>
      <c r="J8" s="4" t="n"/>
      <c r="K8" s="3" t="inlineStr">
        <is>
          <t>7 Days (Supplier SLA)
Avg Replenishment Lead Time</t>
        </is>
      </c>
      <c r="L8" s="4" t="n"/>
      <c r="M8" s="4" t="n"/>
    </row>
    <row r="9"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  <row r="10"/>
    <row r="11"/>
    <row r="12">
      <c r="B12" s="5" t="inlineStr">
        <is>
          <t>Project Methodology &amp; Governance Summary</t>
        </is>
      </c>
    </row>
    <row r="13"/>
    <row r="14">
      <c r="B14" s="6" t="inlineStr">
        <is>
          <t>1. Data Pipeline</t>
        </is>
      </c>
      <c r="C14" s="7" t="inlineStr">
        <is>
          <t>413,208 daily records mined from Kaggle Walmart M5 dataset, merged with calendar and weekly sell prices.</t>
        </is>
      </c>
    </row>
    <row r="15">
      <c r="B15" s="6" t="inlineStr">
        <is>
          <t>2. SQL Star Schema</t>
        </is>
      </c>
      <c r="C15" s="7" t="inlineStr">
        <is>
          <t>SQLite star schema with 3 dimensions (dim_date, dim_product, dim_store) and 1 fact table (fact_daily_sales).</t>
        </is>
      </c>
    </row>
    <row r="16">
      <c r="B16" s="6" t="inlineStr">
        <is>
          <t>3. ABC-XYZ Segmentation</t>
        </is>
      </c>
      <c r="C16" s="7" t="inlineStr">
        <is>
          <t>Pareto 80/15/5 revenue classification paired with Demand Coefficient of Variation (CV = std/mean).</t>
        </is>
      </c>
    </row>
    <row r="17">
      <c r="B17" s="6" t="inlineStr">
        <is>
          <t>4. Explainable Forecasting</t>
        </is>
      </c>
      <c r="C17" s="7" t="inlineStr">
        <is>
          <t>Evaluated 4 explainable models over a 28-day forward holdout horizon; 28-Day SMA demonstrated lowest WAPE.</t>
        </is>
      </c>
    </row>
    <row r="18">
      <c r="B18" s="6" t="inlineStr">
        <is>
          <t>5. Inventory Planning</t>
        </is>
      </c>
      <c r="C18" s="7" t="inlineStr">
        <is>
          <t>Calculated Safety Stock (SS) and Reorder Points (ROP) with explicit 7-day lead time and 95%/90% service level assumptions.</t>
        </is>
      </c>
    </row>
  </sheetData>
  <mergeCells count="8">
    <mergeCell ref="B5:D6"/>
    <mergeCell ref="E5:G6"/>
    <mergeCell ref="K5:M6"/>
    <mergeCell ref="H5:J6"/>
    <mergeCell ref="E8:G9"/>
    <mergeCell ref="H8:J9"/>
    <mergeCell ref="K8:M9"/>
    <mergeCell ref="B8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6" customWidth="1" min="2" max="2"/>
    <col width="14" customWidth="1" min="3" max="3"/>
    <col width="12" customWidth="1" min="4" max="4"/>
    <col width="17" customWidth="1" min="5" max="5"/>
    <col width="19" customWidth="1" min="6" max="6"/>
    <col width="20" customWidth="1" min="7" max="7"/>
    <col width="19" customWidth="1" min="8" max="8"/>
    <col width="23" customWidth="1" min="9" max="9"/>
    <col width="12" customWidth="1" min="10" max="10"/>
  </cols>
  <sheetData>
    <row r="1"/>
    <row r="2">
      <c r="B2" s="5" t="inlineStr">
        <is>
          <t>Product-Level Demand &amp; Revenue Rankings (Top 25 SKUs)</t>
        </is>
      </c>
    </row>
    <row r="3"/>
    <row r="4">
      <c r="B4" s="8" t="inlineStr">
        <is>
          <t>Rank</t>
        </is>
      </c>
      <c r="C4" s="8" t="inlineStr">
        <is>
          <t>Item ID</t>
        </is>
      </c>
      <c r="D4" s="8" t="inlineStr">
        <is>
          <t>Category</t>
        </is>
      </c>
      <c r="E4" s="8" t="inlineStr">
        <is>
          <t>Avg Unit Price</t>
        </is>
      </c>
      <c r="F4" s="8" t="inlineStr">
        <is>
          <t>Total Units Sold</t>
        </is>
      </c>
      <c r="G4" s="8" t="inlineStr">
        <is>
          <t>Total Revenue ($)</t>
        </is>
      </c>
      <c r="H4" s="8" t="inlineStr">
        <is>
          <t>Avg Daily Demand</t>
        </is>
      </c>
      <c r="I4" s="8" t="inlineStr">
        <is>
          <t>Zero-Demand %</t>
        </is>
      </c>
      <c r="J4" s="8" t="inlineStr">
        <is>
          <t>ABC Class</t>
        </is>
      </c>
    </row>
    <row r="5">
      <c r="B5" s="9" t="n">
        <v>1</v>
      </c>
      <c r="C5" s="9" t="inlineStr">
        <is>
          <t>FOODS_1_004</t>
        </is>
      </c>
      <c r="D5" s="9" t="inlineStr">
        <is>
          <t>FOODS_1</t>
        </is>
      </c>
      <c r="E5" s="10" t="n">
        <v>1.85</v>
      </c>
      <c r="F5" s="11" t="n">
        <v>15797</v>
      </c>
      <c r="G5" s="10" t="n">
        <v>28995.06</v>
      </c>
      <c r="H5" s="12" t="n">
        <v>8.2577</v>
      </c>
      <c r="I5" s="13" t="n">
        <v>0.322</v>
      </c>
      <c r="J5" s="14" t="inlineStr">
        <is>
          <t>A</t>
        </is>
      </c>
    </row>
    <row r="6">
      <c r="B6" s="9" t="n">
        <v>2</v>
      </c>
      <c r="C6" s="9" t="inlineStr">
        <is>
          <t>FOODS_1_012</t>
        </is>
      </c>
      <c r="D6" s="9" t="inlineStr">
        <is>
          <t>FOODS_1</t>
        </is>
      </c>
      <c r="E6" s="10" t="n">
        <v>5.5</v>
      </c>
      <c r="F6" s="11" t="n">
        <v>5212</v>
      </c>
      <c r="G6" s="10" t="n">
        <v>27982.26</v>
      </c>
      <c r="H6" s="12" t="n">
        <v>2.7245</v>
      </c>
      <c r="I6" s="13" t="n">
        <v>0.3351</v>
      </c>
      <c r="J6" s="14" t="inlineStr">
        <is>
          <t>A</t>
        </is>
      </c>
    </row>
    <row r="7">
      <c r="B7" s="9" t="n">
        <v>3</v>
      </c>
      <c r="C7" s="9" t="inlineStr">
        <is>
          <t>FOODS_1_170</t>
        </is>
      </c>
      <c r="D7" s="9" t="inlineStr">
        <is>
          <t>FOODS_1</t>
        </is>
      </c>
      <c r="E7" s="10" t="n">
        <v>5.5</v>
      </c>
      <c r="F7" s="11" t="n">
        <v>4806</v>
      </c>
      <c r="G7" s="10" t="n">
        <v>25793.58</v>
      </c>
      <c r="H7" s="12" t="n">
        <v>2.5123</v>
      </c>
      <c r="I7" s="13" t="n">
        <v>0.5593</v>
      </c>
      <c r="J7" s="14" t="inlineStr">
        <is>
          <t>A</t>
        </is>
      </c>
    </row>
    <row r="8">
      <c r="B8" s="9" t="n">
        <v>4</v>
      </c>
      <c r="C8" s="9" t="inlineStr">
        <is>
          <t>FOODS_1_043</t>
        </is>
      </c>
      <c r="D8" s="9" t="inlineStr">
        <is>
          <t>FOODS_1</t>
        </is>
      </c>
      <c r="E8" s="10" t="n">
        <v>1.85</v>
      </c>
      <c r="F8" s="11" t="n">
        <v>12617</v>
      </c>
      <c r="G8" s="10" t="n">
        <v>23065.74</v>
      </c>
      <c r="H8" s="12" t="n">
        <v>6.5954</v>
      </c>
      <c r="I8" s="13" t="n">
        <v>0.2635</v>
      </c>
      <c r="J8" s="14" t="inlineStr">
        <is>
          <t>A</t>
        </is>
      </c>
    </row>
    <row r="9">
      <c r="B9" s="9" t="n">
        <v>5</v>
      </c>
      <c r="C9" s="9" t="inlineStr">
        <is>
          <t>FOODS_1_218</t>
        </is>
      </c>
      <c r="D9" s="9" t="inlineStr">
        <is>
          <t>FOODS_1</t>
        </is>
      </c>
      <c r="E9" s="10" t="n">
        <v>0.98</v>
      </c>
      <c r="F9" s="11" t="n">
        <v>22387</v>
      </c>
      <c r="G9" s="10" t="n">
        <v>21947.46</v>
      </c>
      <c r="H9" s="12" t="n">
        <v>11.7026</v>
      </c>
      <c r="I9" s="13" t="n">
        <v>0.0538</v>
      </c>
      <c r="J9" s="14" t="inlineStr">
        <is>
          <t>A</t>
        </is>
      </c>
    </row>
    <row r="10">
      <c r="B10" s="9" t="n">
        <v>6</v>
      </c>
      <c r="C10" s="9" t="inlineStr">
        <is>
          <t>FOODS_1_055</t>
        </is>
      </c>
      <c r="D10" s="9" t="inlineStr">
        <is>
          <t>FOODS_1</t>
        </is>
      </c>
      <c r="E10" s="10" t="n">
        <v>3.9</v>
      </c>
      <c r="F10" s="11" t="n">
        <v>5343</v>
      </c>
      <c r="G10" s="10" t="n">
        <v>20465.2</v>
      </c>
      <c r="H10" s="12" t="n">
        <v>2.793</v>
      </c>
      <c r="I10" s="13" t="n">
        <v>0.3413</v>
      </c>
      <c r="J10" s="14" t="inlineStr">
        <is>
          <t>A</t>
        </is>
      </c>
    </row>
    <row r="11">
      <c r="B11" s="9" t="n">
        <v>7</v>
      </c>
      <c r="C11" s="9" t="inlineStr">
        <is>
          <t>FOODS_1_085</t>
        </is>
      </c>
      <c r="D11" s="9" t="inlineStr">
        <is>
          <t>FOODS_1</t>
        </is>
      </c>
      <c r="E11" s="10" t="n">
        <v>0.98</v>
      </c>
      <c r="F11" s="11" t="n">
        <v>20358</v>
      </c>
      <c r="G11" s="10" t="n">
        <v>19984.46</v>
      </c>
      <c r="H11" s="12" t="n">
        <v>10.6419</v>
      </c>
      <c r="I11" s="13" t="n">
        <v>0.0188</v>
      </c>
      <c r="J11" s="14" t="inlineStr">
        <is>
          <t>A</t>
        </is>
      </c>
    </row>
    <row r="12">
      <c r="B12" s="9" t="n">
        <v>8</v>
      </c>
      <c r="C12" s="9" t="inlineStr">
        <is>
          <t>FOODS_1_187</t>
        </is>
      </c>
      <c r="D12" s="9" t="inlineStr">
        <is>
          <t>FOODS_1</t>
        </is>
      </c>
      <c r="E12" s="10" t="n">
        <v>9.17</v>
      </c>
      <c r="F12" s="11" t="n">
        <v>2109</v>
      </c>
      <c r="G12" s="10" t="n">
        <v>19255.15</v>
      </c>
      <c r="H12" s="12" t="n">
        <v>1.1025</v>
      </c>
      <c r="I12" s="13" t="n">
        <v>0.4689</v>
      </c>
      <c r="J12" s="14" t="inlineStr">
        <is>
          <t>A</t>
        </is>
      </c>
    </row>
    <row r="13">
      <c r="B13" s="9" t="n">
        <v>9</v>
      </c>
      <c r="C13" s="9" t="inlineStr">
        <is>
          <t>FOODS_1_180</t>
        </is>
      </c>
      <c r="D13" s="9" t="inlineStr">
        <is>
          <t>FOODS_1</t>
        </is>
      </c>
      <c r="E13" s="10" t="n">
        <v>9.59</v>
      </c>
      <c r="F13" s="11" t="n">
        <v>1985</v>
      </c>
      <c r="G13" s="10" t="n">
        <v>19092.65</v>
      </c>
      <c r="H13" s="12" t="n">
        <v>1.0376</v>
      </c>
      <c r="I13" s="13" t="n">
        <v>0.5254</v>
      </c>
      <c r="J13" s="14" t="inlineStr">
        <is>
          <t>A</t>
        </is>
      </c>
    </row>
    <row r="14">
      <c r="B14" s="9" t="n">
        <v>10</v>
      </c>
      <c r="C14" s="9" t="inlineStr">
        <is>
          <t>FOODS_1_194</t>
        </is>
      </c>
      <c r="D14" s="9" t="inlineStr">
        <is>
          <t>FOODS_1</t>
        </is>
      </c>
      <c r="E14" s="10" t="n">
        <v>4.7</v>
      </c>
      <c r="F14" s="11" t="n">
        <v>3968</v>
      </c>
      <c r="G14" s="10" t="n">
        <v>18370.65</v>
      </c>
      <c r="H14" s="12" t="n">
        <v>2.0742</v>
      </c>
      <c r="I14" s="13" t="n">
        <v>0.2692</v>
      </c>
      <c r="J14" s="14" t="inlineStr">
        <is>
          <t>A</t>
        </is>
      </c>
    </row>
    <row r="15">
      <c r="B15" s="9" t="n">
        <v>11</v>
      </c>
      <c r="C15" s="9" t="inlineStr">
        <is>
          <t>FOODS_1_018</t>
        </is>
      </c>
      <c r="D15" s="9" t="inlineStr">
        <is>
          <t>FOODS_1</t>
        </is>
      </c>
      <c r="E15" s="10" t="n">
        <v>0.98</v>
      </c>
      <c r="F15" s="11" t="n">
        <v>18568</v>
      </c>
      <c r="G15" s="10" t="n">
        <v>18209.48</v>
      </c>
      <c r="H15" s="12" t="n">
        <v>9.706200000000001</v>
      </c>
      <c r="I15" s="13" t="n">
        <v>0.0277</v>
      </c>
      <c r="J15" s="14" t="inlineStr">
        <is>
          <t>A</t>
        </is>
      </c>
    </row>
    <row r="16">
      <c r="B16" s="9" t="n">
        <v>12</v>
      </c>
      <c r="C16" s="9" t="inlineStr">
        <is>
          <t>FOODS_1_087</t>
        </is>
      </c>
      <c r="D16" s="9" t="inlineStr">
        <is>
          <t>FOODS_1</t>
        </is>
      </c>
      <c r="E16" s="10" t="n">
        <v>5.5</v>
      </c>
      <c r="F16" s="11" t="n">
        <v>3282</v>
      </c>
      <c r="G16" s="10" t="n">
        <v>17787.78</v>
      </c>
      <c r="H16" s="12" t="n">
        <v>1.7156</v>
      </c>
      <c r="I16" s="13" t="n">
        <v>0.4537</v>
      </c>
      <c r="J16" s="14" t="inlineStr">
        <is>
          <t>A</t>
        </is>
      </c>
    </row>
    <row r="17">
      <c r="B17" s="9" t="n">
        <v>13</v>
      </c>
      <c r="C17" s="9" t="inlineStr">
        <is>
          <t>FOODS_1_086</t>
        </is>
      </c>
      <c r="D17" s="9" t="inlineStr">
        <is>
          <t>FOODS_1</t>
        </is>
      </c>
      <c r="E17" s="10" t="n">
        <v>1.68</v>
      </c>
      <c r="F17" s="11" t="n">
        <v>10583</v>
      </c>
      <c r="G17" s="10" t="n">
        <v>17785.57</v>
      </c>
      <c r="H17" s="12" t="n">
        <v>5.5321</v>
      </c>
      <c r="I17" s="13" t="n">
        <v>0.2154</v>
      </c>
      <c r="J17" s="14" t="inlineStr">
        <is>
          <t>A</t>
        </is>
      </c>
    </row>
    <row r="18">
      <c r="B18" s="9" t="n">
        <v>14</v>
      </c>
      <c r="C18" s="9" t="inlineStr">
        <is>
          <t>FOODS_1_110</t>
        </is>
      </c>
      <c r="D18" s="9" t="inlineStr">
        <is>
          <t>FOODS_1</t>
        </is>
      </c>
      <c r="E18" s="10" t="n">
        <v>1.85</v>
      </c>
      <c r="F18" s="11" t="n">
        <v>9080</v>
      </c>
      <c r="G18" s="10" t="n">
        <v>16687.88</v>
      </c>
      <c r="H18" s="12" t="n">
        <v>4.7465</v>
      </c>
      <c r="I18" s="13" t="n">
        <v>0.2844</v>
      </c>
      <c r="J18" s="14" t="inlineStr">
        <is>
          <t>A</t>
        </is>
      </c>
    </row>
    <row r="19">
      <c r="B19" s="9" t="n">
        <v>15</v>
      </c>
      <c r="C19" s="9" t="inlineStr">
        <is>
          <t>FOODS_1_161</t>
        </is>
      </c>
      <c r="D19" s="9" t="inlineStr">
        <is>
          <t>FOODS_1</t>
        </is>
      </c>
      <c r="E19" s="10" t="n">
        <v>0.98</v>
      </c>
      <c r="F19" s="11" t="n">
        <v>16808</v>
      </c>
      <c r="G19" s="10" t="n">
        <v>16475.36</v>
      </c>
      <c r="H19" s="12" t="n">
        <v>8.786199999999999</v>
      </c>
      <c r="I19" s="13" t="n">
        <v>0.0633</v>
      </c>
      <c r="J19" s="14" t="inlineStr">
        <is>
          <t>A</t>
        </is>
      </c>
    </row>
    <row r="20">
      <c r="B20" s="9" t="n">
        <v>16</v>
      </c>
      <c r="C20" s="9" t="inlineStr">
        <is>
          <t>FOODS_1_183</t>
        </is>
      </c>
      <c r="D20" s="9" t="inlineStr">
        <is>
          <t>FOODS_1</t>
        </is>
      </c>
      <c r="E20" s="10" t="n">
        <v>2.95</v>
      </c>
      <c r="F20" s="11" t="n">
        <v>4996</v>
      </c>
      <c r="G20" s="10" t="n">
        <v>14771.98</v>
      </c>
      <c r="H20" s="12" t="n">
        <v>2.6116</v>
      </c>
      <c r="I20" s="13" t="n">
        <v>0.2734</v>
      </c>
      <c r="J20" s="14" t="inlineStr">
        <is>
          <t>A</t>
        </is>
      </c>
    </row>
    <row r="21">
      <c r="B21" s="9" t="n">
        <v>17</v>
      </c>
      <c r="C21" s="9" t="inlineStr">
        <is>
          <t>FOODS_1_032</t>
        </is>
      </c>
      <c r="D21" s="9" t="inlineStr">
        <is>
          <t>FOODS_1</t>
        </is>
      </c>
      <c r="E21" s="10" t="n">
        <v>0.98</v>
      </c>
      <c r="F21" s="11" t="n">
        <v>14751</v>
      </c>
      <c r="G21" s="10" t="n">
        <v>14495.74</v>
      </c>
      <c r="H21" s="12" t="n">
        <v>7.7109</v>
      </c>
      <c r="I21" s="13" t="n">
        <v>0.2577</v>
      </c>
      <c r="J21" s="14" t="inlineStr">
        <is>
          <t>A</t>
        </is>
      </c>
    </row>
    <row r="22">
      <c r="B22" s="9" t="n">
        <v>18</v>
      </c>
      <c r="C22" s="9" t="inlineStr">
        <is>
          <t>FOODS_1_177</t>
        </is>
      </c>
      <c r="D22" s="9" t="inlineStr">
        <is>
          <t>FOODS_1</t>
        </is>
      </c>
      <c r="E22" s="10" t="n">
        <v>8.609999999999999</v>
      </c>
      <c r="F22" s="11" t="n">
        <v>1650</v>
      </c>
      <c r="G22" s="10" t="n">
        <v>14237.07</v>
      </c>
      <c r="H22" s="12" t="n">
        <v>0.8625</v>
      </c>
      <c r="I22" s="13" t="n">
        <v>0.4971</v>
      </c>
      <c r="J22" s="14" t="inlineStr">
        <is>
          <t>A</t>
        </is>
      </c>
    </row>
    <row r="23">
      <c r="B23" s="9" t="n">
        <v>19</v>
      </c>
      <c r="C23" s="9" t="inlineStr">
        <is>
          <t>FOODS_1_152</t>
        </is>
      </c>
      <c r="D23" s="9" t="inlineStr">
        <is>
          <t>FOODS_1</t>
        </is>
      </c>
      <c r="E23" s="10" t="n">
        <v>8.07</v>
      </c>
      <c r="F23" s="11" t="n">
        <v>1786</v>
      </c>
      <c r="G23" s="10" t="n">
        <v>14228.23</v>
      </c>
      <c r="H23" s="12" t="n">
        <v>0.9336</v>
      </c>
      <c r="I23" s="13" t="n">
        <v>0.4888</v>
      </c>
      <c r="J23" s="14" t="inlineStr">
        <is>
          <t>A</t>
        </is>
      </c>
    </row>
    <row r="24">
      <c r="B24" s="9" t="n">
        <v>20</v>
      </c>
      <c r="C24" s="9" t="inlineStr">
        <is>
          <t>FOODS_1_088</t>
        </is>
      </c>
      <c r="D24" s="9" t="inlineStr">
        <is>
          <t>FOODS_1</t>
        </is>
      </c>
      <c r="E24" s="10" t="n">
        <v>4.86</v>
      </c>
      <c r="F24" s="11" t="n">
        <v>2949</v>
      </c>
      <c r="G24" s="10" t="n">
        <v>14056.52</v>
      </c>
      <c r="H24" s="12" t="n">
        <v>1.5416</v>
      </c>
      <c r="I24" s="13" t="n">
        <v>0.4093</v>
      </c>
      <c r="J24" s="14" t="inlineStr">
        <is>
          <t>A</t>
        </is>
      </c>
    </row>
    <row r="25">
      <c r="B25" s="9" t="n">
        <v>21</v>
      </c>
      <c r="C25" s="9" t="inlineStr">
        <is>
          <t>FOODS_1_217</t>
        </is>
      </c>
      <c r="D25" s="9" t="inlineStr">
        <is>
          <t>FOODS_1</t>
        </is>
      </c>
      <c r="E25" s="10" t="n">
        <v>3.33</v>
      </c>
      <c r="F25" s="11" t="n">
        <v>4024</v>
      </c>
      <c r="G25" s="10" t="n">
        <v>13531.78</v>
      </c>
      <c r="H25" s="12" t="n">
        <v>2.1035</v>
      </c>
      <c r="I25" s="13" t="n">
        <v>0.4454</v>
      </c>
      <c r="J25" s="14" t="inlineStr">
        <is>
          <t>A</t>
        </is>
      </c>
    </row>
    <row r="26">
      <c r="B26" s="9" t="n">
        <v>22</v>
      </c>
      <c r="C26" s="9" t="inlineStr">
        <is>
          <t>FOODS_1_046</t>
        </is>
      </c>
      <c r="D26" s="9" t="inlineStr">
        <is>
          <t>FOODS_1</t>
        </is>
      </c>
      <c r="E26" s="10" t="n">
        <v>0.98</v>
      </c>
      <c r="F26" s="11" t="n">
        <v>13640</v>
      </c>
      <c r="G26" s="10" t="n">
        <v>13374.12</v>
      </c>
      <c r="H26" s="12" t="n">
        <v>7.1302</v>
      </c>
      <c r="I26" s="13" t="n">
        <v>0.06849999999999999</v>
      </c>
      <c r="J26" s="14" t="inlineStr">
        <is>
          <t>A</t>
        </is>
      </c>
    </row>
    <row r="27">
      <c r="B27" s="9" t="n">
        <v>23</v>
      </c>
      <c r="C27" s="9" t="inlineStr">
        <is>
          <t>FOODS_1_173</t>
        </is>
      </c>
      <c r="D27" s="9" t="inlineStr">
        <is>
          <t>FOODS_1</t>
        </is>
      </c>
      <c r="E27" s="10" t="n">
        <v>1.98</v>
      </c>
      <c r="F27" s="11" t="n">
        <v>6716</v>
      </c>
      <c r="G27" s="10" t="n">
        <v>13316.5</v>
      </c>
      <c r="H27" s="12" t="n">
        <v>3.5107</v>
      </c>
      <c r="I27" s="13" t="n">
        <v>0.3847</v>
      </c>
      <c r="J27" s="14" t="inlineStr">
        <is>
          <t>A</t>
        </is>
      </c>
    </row>
    <row r="28">
      <c r="B28" s="9" t="n">
        <v>24</v>
      </c>
      <c r="C28" s="9" t="inlineStr">
        <is>
          <t>FOODS_1_023</t>
        </is>
      </c>
      <c r="D28" s="9" t="inlineStr">
        <is>
          <t>FOODS_1</t>
        </is>
      </c>
      <c r="E28" s="10" t="n">
        <v>5.5</v>
      </c>
      <c r="F28" s="11" t="n">
        <v>2501</v>
      </c>
      <c r="G28" s="10" t="n">
        <v>13314.25</v>
      </c>
      <c r="H28" s="12" t="n">
        <v>1.3074</v>
      </c>
      <c r="I28" s="13" t="n">
        <v>0.5911999999999999</v>
      </c>
      <c r="J28" s="14" t="inlineStr">
        <is>
          <t>A</t>
        </is>
      </c>
    </row>
    <row r="29">
      <c r="B29" s="9" t="n">
        <v>25</v>
      </c>
      <c r="C29" s="9" t="inlineStr">
        <is>
          <t>FOODS_1_099</t>
        </is>
      </c>
      <c r="D29" s="9" t="inlineStr">
        <is>
          <t>FOODS_1</t>
        </is>
      </c>
      <c r="E29" s="10" t="n">
        <v>0.98</v>
      </c>
      <c r="F29" s="11" t="n">
        <v>13024</v>
      </c>
      <c r="G29" s="10" t="n">
        <v>12763.52</v>
      </c>
      <c r="H29" s="12" t="n">
        <v>6.8082</v>
      </c>
      <c r="I29" s="13" t="n">
        <v>0.4182</v>
      </c>
      <c r="J29" s="14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24" customWidth="1" min="3" max="3"/>
    <col width="32" customWidth="1" min="4" max="4"/>
    <col width="23" customWidth="1" min="5" max="5"/>
    <col width="19" customWidth="1" min="6" max="6"/>
    <col width="17" customWidth="1" min="7" max="7"/>
    <col width="19" customWidth="1" min="8" max="8"/>
    <col width="12" customWidth="1" min="9" max="9"/>
    <col width="12" customWidth="1" min="10" max="10"/>
    <col width="86" customWidth="1" min="11" max="11"/>
  </cols>
  <sheetData>
    <row r="1"/>
    <row r="2">
      <c r="B2" s="5" t="inlineStr">
        <is>
          <t>ABC-XYZ SKU Segmentation &amp; Replenishment Governance</t>
        </is>
      </c>
    </row>
    <row r="3"/>
    <row r="4">
      <c r="B4" s="6" t="inlineStr">
        <is>
          <t>9-Box Matrix Summary</t>
        </is>
      </c>
    </row>
    <row r="5">
      <c r="B5" s="15" t="inlineStr">
        <is>
          <t>ABC Class</t>
        </is>
      </c>
      <c r="C5" s="15" t="inlineStr">
        <is>
          <t>X (CV &lt;= 0.50) Steady</t>
        </is>
      </c>
      <c r="D5" s="15" t="inlineStr">
        <is>
          <t>Y (0.50 &lt; CV &lt;= 1.0) Seasonal</t>
        </is>
      </c>
      <c r="E5" s="15" t="inlineStr">
        <is>
          <t>Z (CV &gt; 1.0) Erratic</t>
        </is>
      </c>
      <c r="F5" s="15" t="inlineStr">
        <is>
          <t>Total SKUs</t>
        </is>
      </c>
    </row>
    <row r="6">
      <c r="B6" s="16" t="inlineStr">
        <is>
          <t>Class A (Top 80% Rev)</t>
        </is>
      </c>
      <c r="C6" s="17" t="inlineStr">
        <is>
          <t>0 SKUs</t>
        </is>
      </c>
      <c r="D6" s="17" t="inlineStr">
        <is>
          <t>9 SKUs</t>
        </is>
      </c>
      <c r="E6" s="17" t="inlineStr">
        <is>
          <t>100 SKUs</t>
        </is>
      </c>
      <c r="F6" s="18" t="inlineStr">
        <is>
          <t>109 SKUs</t>
        </is>
      </c>
    </row>
    <row r="7">
      <c r="B7" s="16" t="inlineStr">
        <is>
          <t>Class B (Next 15% Rev)</t>
        </is>
      </c>
      <c r="C7" s="17" t="inlineStr">
        <is>
          <t>0 SKUs</t>
        </is>
      </c>
      <c r="D7" s="17" t="inlineStr">
        <is>
          <t>0 SKUs</t>
        </is>
      </c>
      <c r="E7" s="17" t="inlineStr">
        <is>
          <t>62 SKUs</t>
        </is>
      </c>
      <c r="F7" s="18" t="inlineStr">
        <is>
          <t>62 SKUs</t>
        </is>
      </c>
    </row>
    <row r="8">
      <c r="B8" s="16" t="inlineStr">
        <is>
          <t>Class C (Bottom 5% Rev)</t>
        </is>
      </c>
      <c r="C8" s="17" t="inlineStr">
        <is>
          <t>0 SKUs</t>
        </is>
      </c>
      <c r="D8" s="17" t="inlineStr">
        <is>
          <t>0 SKUs</t>
        </is>
      </c>
      <c r="E8" s="17" t="inlineStr">
        <is>
          <t>45 SKUs</t>
        </is>
      </c>
      <c r="F8" s="18" t="inlineStr">
        <is>
          <t>45 SKUs</t>
        </is>
      </c>
    </row>
    <row r="9">
      <c r="B9" s="16" t="inlineStr">
        <is>
          <t>Total Department SKUs</t>
        </is>
      </c>
      <c r="C9" s="17" t="inlineStr">
        <is>
          <t>0 SKUs</t>
        </is>
      </c>
      <c r="D9" s="17" t="inlineStr">
        <is>
          <t>9 SKUs</t>
        </is>
      </c>
      <c r="E9" s="17" t="inlineStr">
        <is>
          <t>207 SKUs</t>
        </is>
      </c>
      <c r="F9" s="18" t="inlineStr">
        <is>
          <t>216 SKUs</t>
        </is>
      </c>
    </row>
    <row r="10"/>
    <row r="11"/>
    <row r="12">
      <c r="B12" s="6" t="inlineStr">
        <is>
          <t>Complete SKU-Level ABC-XYZ Classification</t>
        </is>
      </c>
    </row>
    <row r="13">
      <c r="B13" s="19" t="inlineStr">
        <is>
          <t>Item ID</t>
        </is>
      </c>
      <c r="C13" s="19" t="inlineStr">
        <is>
          <t>Total Revenue ($)</t>
        </is>
      </c>
      <c r="D13" s="19" t="inlineStr">
        <is>
          <t>Cumulative Rev %</t>
        </is>
      </c>
      <c r="E13" s="19" t="inlineStr">
        <is>
          <t>ABC Class</t>
        </is>
      </c>
      <c r="F13" s="19" t="inlineStr">
        <is>
          <t>Avg Daily Demand</t>
        </is>
      </c>
      <c r="G13" s="19" t="inlineStr">
        <is>
          <t>Std Dev Demand</t>
        </is>
      </c>
      <c r="H13" s="19" t="inlineStr">
        <is>
          <t>CV (Variability)</t>
        </is>
      </c>
      <c r="I13" s="19" t="inlineStr">
        <is>
          <t>XYZ Class</t>
        </is>
      </c>
      <c r="J13" s="19" t="inlineStr">
        <is>
          <t>Segment</t>
        </is>
      </c>
      <c r="K13" s="19" t="inlineStr">
        <is>
          <t>Replenishment Policy</t>
        </is>
      </c>
    </row>
    <row r="14">
      <c r="B14" s="9" t="inlineStr">
        <is>
          <t>FOODS_1_004</t>
        </is>
      </c>
      <c r="C14" s="10" t="n">
        <v>28995.06</v>
      </c>
      <c r="D14" s="13" t="n">
        <v>0.0222</v>
      </c>
      <c r="E14" s="18" t="inlineStr">
        <is>
          <t>A</t>
        </is>
      </c>
      <c r="F14" s="12" t="n">
        <v>8.2577</v>
      </c>
      <c r="G14" s="12" t="n">
        <v>8.866199999999999</v>
      </c>
      <c r="H14" s="12" t="n">
        <v>1.0737</v>
      </c>
      <c r="I14" s="18" t="inlineStr">
        <is>
          <t>Z</t>
        </is>
      </c>
      <c r="J14" s="18" t="inlineStr">
        <is>
          <t>AZ</t>
        </is>
      </c>
      <c r="K14" s="20" t="inlineStr">
        <is>
          <t>Dedicated Planner Review | Dynamic Safety Stock | Close Supplier Lead Time Tracking</t>
        </is>
      </c>
    </row>
    <row r="15">
      <c r="B15" s="9" t="inlineStr">
        <is>
          <t>FOODS_1_012</t>
        </is>
      </c>
      <c r="C15" s="10" t="n">
        <v>27982.26</v>
      </c>
      <c r="D15" s="13" t="n">
        <v>0.0437</v>
      </c>
      <c r="E15" s="18" t="inlineStr">
        <is>
          <t>A</t>
        </is>
      </c>
      <c r="F15" s="12" t="n">
        <v>2.7245</v>
      </c>
      <c r="G15" s="12" t="n">
        <v>2.7835</v>
      </c>
      <c r="H15" s="12" t="n">
        <v>1.0217</v>
      </c>
      <c r="I15" s="18" t="inlineStr">
        <is>
          <t>Z</t>
        </is>
      </c>
      <c r="J15" s="18" t="inlineStr">
        <is>
          <t>AZ</t>
        </is>
      </c>
      <c r="K15" s="20" t="inlineStr">
        <is>
          <t>Dedicated Planner Review | Dynamic Safety Stock | Close Supplier Lead Time Tracking</t>
        </is>
      </c>
    </row>
    <row r="16">
      <c r="B16" s="9" t="inlineStr">
        <is>
          <t>FOODS_1_170</t>
        </is>
      </c>
      <c r="C16" s="10" t="n">
        <v>25793.58</v>
      </c>
      <c r="D16" s="13" t="n">
        <v>0.0635</v>
      </c>
      <c r="E16" s="18" t="inlineStr">
        <is>
          <t>A</t>
        </is>
      </c>
      <c r="F16" s="12" t="n">
        <v>2.5123</v>
      </c>
      <c r="G16" s="12" t="n">
        <v>3.5448</v>
      </c>
      <c r="H16" s="12" t="n">
        <v>1.411</v>
      </c>
      <c r="I16" s="18" t="inlineStr">
        <is>
          <t>Z</t>
        </is>
      </c>
      <c r="J16" s="18" t="inlineStr">
        <is>
          <t>AZ</t>
        </is>
      </c>
      <c r="K16" s="20" t="inlineStr">
        <is>
          <t>Dedicated Planner Review | Dynamic Safety Stock | Close Supplier Lead Time Tracking</t>
        </is>
      </c>
    </row>
    <row r="17">
      <c r="B17" s="9" t="inlineStr">
        <is>
          <t>FOODS_1_043</t>
        </is>
      </c>
      <c r="C17" s="10" t="n">
        <v>23065.74</v>
      </c>
      <c r="D17" s="13" t="n">
        <v>0.08119999999999999</v>
      </c>
      <c r="E17" s="18" t="inlineStr">
        <is>
          <t>A</t>
        </is>
      </c>
      <c r="F17" s="12" t="n">
        <v>6.5954</v>
      </c>
      <c r="G17" s="12" t="n">
        <v>6.5966</v>
      </c>
      <c r="H17" s="12" t="n">
        <v>1.0002</v>
      </c>
      <c r="I17" s="18" t="inlineStr">
        <is>
          <t>Z</t>
        </is>
      </c>
      <c r="J17" s="18" t="inlineStr">
        <is>
          <t>AZ</t>
        </is>
      </c>
      <c r="K17" s="20" t="inlineStr">
        <is>
          <t>Dedicated Planner Review | Dynamic Safety Stock | Close Supplier Lead Time Tracking</t>
        </is>
      </c>
    </row>
    <row r="18">
      <c r="B18" s="9" t="inlineStr">
        <is>
          <t>FOODS_1_218</t>
        </is>
      </c>
      <c r="C18" s="10" t="n">
        <v>21947.46</v>
      </c>
      <c r="D18" s="13" t="n">
        <v>0.098</v>
      </c>
      <c r="E18" s="18" t="inlineStr">
        <is>
          <t>A</t>
        </is>
      </c>
      <c r="F18" s="12" t="n">
        <v>11.7026</v>
      </c>
      <c r="G18" s="12" t="n">
        <v>9.3254</v>
      </c>
      <c r="H18" s="12" t="n">
        <v>0.7969000000000001</v>
      </c>
      <c r="I18" s="18" t="inlineStr">
        <is>
          <t>Y</t>
        </is>
      </c>
      <c r="J18" s="18" t="inlineStr">
        <is>
          <t>AY</t>
        </is>
      </c>
      <c r="K18" s="20" t="inlineStr">
        <is>
          <t>Seasonal Forecasting | Medium Safety Stock Buffer | Weekly Demand Review</t>
        </is>
      </c>
    </row>
    <row r="19">
      <c r="B19" s="9" t="inlineStr">
        <is>
          <t>FOODS_1_055</t>
        </is>
      </c>
      <c r="C19" s="10" t="n">
        <v>20465.2</v>
      </c>
      <c r="D19" s="13" t="n">
        <v>0.1137</v>
      </c>
      <c r="E19" s="18" t="inlineStr">
        <is>
          <t>A</t>
        </is>
      </c>
      <c r="F19" s="12" t="n">
        <v>2.793</v>
      </c>
      <c r="G19" s="12" t="n">
        <v>4.6256</v>
      </c>
      <c r="H19" s="12" t="n">
        <v>1.6561</v>
      </c>
      <c r="I19" s="18" t="inlineStr">
        <is>
          <t>Z</t>
        </is>
      </c>
      <c r="J19" s="18" t="inlineStr">
        <is>
          <t>AZ</t>
        </is>
      </c>
      <c r="K19" s="20" t="inlineStr">
        <is>
          <t>Dedicated Planner Review | Dynamic Safety Stock | Close Supplier Lead Time Tracking</t>
        </is>
      </c>
    </row>
    <row r="20">
      <c r="B20" s="9" t="inlineStr">
        <is>
          <t>FOODS_1_085</t>
        </is>
      </c>
      <c r="C20" s="10" t="n">
        <v>19984.46</v>
      </c>
      <c r="D20" s="13" t="n">
        <v>0.1291</v>
      </c>
      <c r="E20" s="18" t="inlineStr">
        <is>
          <t>A</t>
        </is>
      </c>
      <c r="F20" s="12" t="n">
        <v>10.6419</v>
      </c>
      <c r="G20" s="12" t="n">
        <v>6.9478</v>
      </c>
      <c r="H20" s="12" t="n">
        <v>0.6529</v>
      </c>
      <c r="I20" s="18" t="inlineStr">
        <is>
          <t>Y</t>
        </is>
      </c>
      <c r="J20" s="18" t="inlineStr">
        <is>
          <t>AY</t>
        </is>
      </c>
      <c r="K20" s="20" t="inlineStr">
        <is>
          <t>Seasonal Forecasting | Medium Safety Stock Buffer | Weekly Demand Review</t>
        </is>
      </c>
    </row>
    <row r="21">
      <c r="B21" s="9" t="inlineStr">
        <is>
          <t>FOODS_1_187</t>
        </is>
      </c>
      <c r="C21" s="10" t="n">
        <v>19255.15</v>
      </c>
      <c r="D21" s="13" t="n">
        <v>0.1438</v>
      </c>
      <c r="E21" s="18" t="inlineStr">
        <is>
          <t>A</t>
        </is>
      </c>
      <c r="F21" s="12" t="n">
        <v>1.1025</v>
      </c>
      <c r="G21" s="12" t="n">
        <v>1.4438</v>
      </c>
      <c r="H21" s="12" t="n">
        <v>1.3096</v>
      </c>
      <c r="I21" s="18" t="inlineStr">
        <is>
          <t>Z</t>
        </is>
      </c>
      <c r="J21" s="18" t="inlineStr">
        <is>
          <t>AZ</t>
        </is>
      </c>
      <c r="K21" s="20" t="inlineStr">
        <is>
          <t>Dedicated Planner Review | Dynamic Safety Stock | Close Supplier Lead Time Tracking</t>
        </is>
      </c>
    </row>
    <row r="22">
      <c r="B22" s="9" t="inlineStr">
        <is>
          <t>FOODS_1_180</t>
        </is>
      </c>
      <c r="C22" s="10" t="n">
        <v>19092.65</v>
      </c>
      <c r="D22" s="13" t="n">
        <v>0.1585</v>
      </c>
      <c r="E22" s="18" t="inlineStr">
        <is>
          <t>A</t>
        </is>
      </c>
      <c r="F22" s="12" t="n">
        <v>1.0376</v>
      </c>
      <c r="G22" s="12" t="n">
        <v>1.9768</v>
      </c>
      <c r="H22" s="12" t="n">
        <v>1.9052</v>
      </c>
      <c r="I22" s="18" t="inlineStr">
        <is>
          <t>Z</t>
        </is>
      </c>
      <c r="J22" s="18" t="inlineStr">
        <is>
          <t>AZ</t>
        </is>
      </c>
      <c r="K22" s="20" t="inlineStr">
        <is>
          <t>Dedicated Planner Review | Dynamic Safety Stock | Close Supplier Lead Time Tracking</t>
        </is>
      </c>
    </row>
    <row r="23">
      <c r="B23" s="9" t="inlineStr">
        <is>
          <t>FOODS_1_194</t>
        </is>
      </c>
      <c r="C23" s="10" t="n">
        <v>18370.65</v>
      </c>
      <c r="D23" s="13" t="n">
        <v>0.1726</v>
      </c>
      <c r="E23" s="18" t="inlineStr">
        <is>
          <t>A</t>
        </is>
      </c>
      <c r="F23" s="12" t="n">
        <v>2.0742</v>
      </c>
      <c r="G23" s="12" t="n">
        <v>2.1945</v>
      </c>
      <c r="H23" s="12" t="n">
        <v>1.058</v>
      </c>
      <c r="I23" s="18" t="inlineStr">
        <is>
          <t>Z</t>
        </is>
      </c>
      <c r="J23" s="18" t="inlineStr">
        <is>
          <t>AZ</t>
        </is>
      </c>
      <c r="K23" s="20" t="inlineStr">
        <is>
          <t>Dedicated Planner Review | Dynamic Safety Stock | Close Supplier Lead Time Tracking</t>
        </is>
      </c>
    </row>
    <row r="24">
      <c r="B24" s="9" t="inlineStr">
        <is>
          <t>FOODS_1_018</t>
        </is>
      </c>
      <c r="C24" s="10" t="n">
        <v>18209.48</v>
      </c>
      <c r="D24" s="13" t="n">
        <v>0.1866</v>
      </c>
      <c r="E24" s="18" t="inlineStr">
        <is>
          <t>A</t>
        </is>
      </c>
      <c r="F24" s="12" t="n">
        <v>9.706200000000001</v>
      </c>
      <c r="G24" s="12" t="n">
        <v>6.544</v>
      </c>
      <c r="H24" s="12" t="n">
        <v>0.6742</v>
      </c>
      <c r="I24" s="18" t="inlineStr">
        <is>
          <t>Y</t>
        </is>
      </c>
      <c r="J24" s="18" t="inlineStr">
        <is>
          <t>AY</t>
        </is>
      </c>
      <c r="K24" s="20" t="inlineStr">
        <is>
          <t>Seasonal Forecasting | Medium Safety Stock Buffer | Weekly Demand Review</t>
        </is>
      </c>
    </row>
    <row r="25">
      <c r="B25" s="9" t="inlineStr">
        <is>
          <t>FOODS_1_087</t>
        </is>
      </c>
      <c r="C25" s="10" t="n">
        <v>17787.78</v>
      </c>
      <c r="D25" s="13" t="n">
        <v>0.2002</v>
      </c>
      <c r="E25" s="18" t="inlineStr">
        <is>
          <t>A</t>
        </is>
      </c>
      <c r="F25" s="12" t="n">
        <v>1.7156</v>
      </c>
      <c r="G25" s="12" t="n">
        <v>2.2437</v>
      </c>
      <c r="H25" s="12" t="n">
        <v>1.3078</v>
      </c>
      <c r="I25" s="18" t="inlineStr">
        <is>
          <t>Z</t>
        </is>
      </c>
      <c r="J25" s="18" t="inlineStr">
        <is>
          <t>AZ</t>
        </is>
      </c>
      <c r="K25" s="20" t="inlineStr">
        <is>
          <t>Dedicated Planner Review | Dynamic Safety Stock | Close Supplier Lead Time Tracking</t>
        </is>
      </c>
    </row>
    <row r="26">
      <c r="B26" s="9" t="inlineStr">
        <is>
          <t>FOODS_1_086</t>
        </is>
      </c>
      <c r="C26" s="10" t="n">
        <v>17785.57</v>
      </c>
      <c r="D26" s="13" t="n">
        <v>0.2138</v>
      </c>
      <c r="E26" s="18" t="inlineStr">
        <is>
          <t>A</t>
        </is>
      </c>
      <c r="F26" s="12" t="n">
        <v>5.5321</v>
      </c>
      <c r="G26" s="12" t="n">
        <v>4.4389</v>
      </c>
      <c r="H26" s="12" t="n">
        <v>0.8024</v>
      </c>
      <c r="I26" s="18" t="inlineStr">
        <is>
          <t>Y</t>
        </is>
      </c>
      <c r="J26" s="18" t="inlineStr">
        <is>
          <t>AY</t>
        </is>
      </c>
      <c r="K26" s="20" t="inlineStr">
        <is>
          <t>Seasonal Forecasting | Medium Safety Stock Buffer | Weekly Demand Review</t>
        </is>
      </c>
    </row>
    <row r="27">
      <c r="B27" s="9" t="inlineStr">
        <is>
          <t>FOODS_1_110</t>
        </is>
      </c>
      <c r="C27" s="10" t="n">
        <v>16687.88</v>
      </c>
      <c r="D27" s="13" t="n">
        <v>0.2267</v>
      </c>
      <c r="E27" s="18" t="inlineStr">
        <is>
          <t>A</t>
        </is>
      </c>
      <c r="F27" s="12" t="n">
        <v>4.7465</v>
      </c>
      <c r="G27" s="12" t="n">
        <v>5.2992</v>
      </c>
      <c r="H27" s="12" t="n">
        <v>1.1164</v>
      </c>
      <c r="I27" s="18" t="inlineStr">
        <is>
          <t>Z</t>
        </is>
      </c>
      <c r="J27" s="18" t="inlineStr">
        <is>
          <t>AZ</t>
        </is>
      </c>
      <c r="K27" s="20" t="inlineStr">
        <is>
          <t>Dedicated Planner Review | Dynamic Safety Stock | Close Supplier Lead Time Tracking</t>
        </is>
      </c>
    </row>
    <row r="28">
      <c r="B28" s="9" t="inlineStr">
        <is>
          <t>FOODS_1_161</t>
        </is>
      </c>
      <c r="C28" s="10" t="n">
        <v>16475.36</v>
      </c>
      <c r="D28" s="13" t="n">
        <v>0.2393</v>
      </c>
      <c r="E28" s="18" t="inlineStr">
        <is>
          <t>A</t>
        </is>
      </c>
      <c r="F28" s="12" t="n">
        <v>8.786199999999999</v>
      </c>
      <c r="G28" s="12" t="n">
        <v>6.9433</v>
      </c>
      <c r="H28" s="12" t="n">
        <v>0.7903</v>
      </c>
      <c r="I28" s="18" t="inlineStr">
        <is>
          <t>Y</t>
        </is>
      </c>
      <c r="J28" s="18" t="inlineStr">
        <is>
          <t>AY</t>
        </is>
      </c>
      <c r="K28" s="20" t="inlineStr">
        <is>
          <t>Seasonal Forecasting | Medium Safety Stock Buffer | Weekly Demand Review</t>
        </is>
      </c>
    </row>
    <row r="29">
      <c r="B29" s="9" t="inlineStr">
        <is>
          <t>FOODS_1_183</t>
        </is>
      </c>
      <c r="C29" s="10" t="n">
        <v>14771.98</v>
      </c>
      <c r="D29" s="13" t="n">
        <v>0.2506</v>
      </c>
      <c r="E29" s="18" t="inlineStr">
        <is>
          <t>A</t>
        </is>
      </c>
      <c r="F29" s="12" t="n">
        <v>2.6116</v>
      </c>
      <c r="G29" s="12" t="n">
        <v>2.4738</v>
      </c>
      <c r="H29" s="12" t="n">
        <v>0.9472</v>
      </c>
      <c r="I29" s="18" t="inlineStr">
        <is>
          <t>Y</t>
        </is>
      </c>
      <c r="J29" s="18" t="inlineStr">
        <is>
          <t>AY</t>
        </is>
      </c>
      <c r="K29" s="20" t="inlineStr">
        <is>
          <t>Seasonal Forecasting | Medium Safety Stock Buffer | Weekly Demand Review</t>
        </is>
      </c>
    </row>
    <row r="30">
      <c r="B30" s="9" t="inlineStr">
        <is>
          <t>FOODS_1_032</t>
        </is>
      </c>
      <c r="C30" s="10" t="n">
        <v>14495.74</v>
      </c>
      <c r="D30" s="13" t="n">
        <v>0.2617</v>
      </c>
      <c r="E30" s="18" t="inlineStr">
        <is>
          <t>A</t>
        </is>
      </c>
      <c r="F30" s="12" t="n">
        <v>7.7109</v>
      </c>
      <c r="G30" s="12" t="n">
        <v>8.7501</v>
      </c>
      <c r="H30" s="12" t="n">
        <v>1.1348</v>
      </c>
      <c r="I30" s="18" t="inlineStr">
        <is>
          <t>Z</t>
        </is>
      </c>
      <c r="J30" s="18" t="inlineStr">
        <is>
          <t>AZ</t>
        </is>
      </c>
      <c r="K30" s="20" t="inlineStr">
        <is>
          <t>Dedicated Planner Review | Dynamic Safety Stock | Close Supplier Lead Time Tracking</t>
        </is>
      </c>
    </row>
    <row r="31">
      <c r="B31" s="9" t="inlineStr">
        <is>
          <t>FOODS_1_177</t>
        </is>
      </c>
      <c r="C31" s="10" t="n">
        <v>14237.07</v>
      </c>
      <c r="D31" s="13" t="n">
        <v>0.2727</v>
      </c>
      <c r="E31" s="18" t="inlineStr">
        <is>
          <t>A</t>
        </is>
      </c>
      <c r="F31" s="12" t="n">
        <v>0.8625</v>
      </c>
      <c r="G31" s="12" t="n">
        <v>1.1614</v>
      </c>
      <c r="H31" s="12" t="n">
        <v>1.3466</v>
      </c>
      <c r="I31" s="18" t="inlineStr">
        <is>
          <t>Z</t>
        </is>
      </c>
      <c r="J31" s="18" t="inlineStr">
        <is>
          <t>AZ</t>
        </is>
      </c>
      <c r="K31" s="20" t="inlineStr">
        <is>
          <t>Dedicated Planner Review | Dynamic Safety Stock | Close Supplier Lead Time Tracking</t>
        </is>
      </c>
    </row>
    <row r="32">
      <c r="B32" s="9" t="inlineStr">
        <is>
          <t>FOODS_1_152</t>
        </is>
      </c>
      <c r="C32" s="10" t="n">
        <v>14228.23</v>
      </c>
      <c r="D32" s="13" t="n">
        <v>0.2836</v>
      </c>
      <c r="E32" s="18" t="inlineStr">
        <is>
          <t>A</t>
        </is>
      </c>
      <c r="F32" s="12" t="n">
        <v>0.9336</v>
      </c>
      <c r="G32" s="12" t="n">
        <v>1.2536</v>
      </c>
      <c r="H32" s="12" t="n">
        <v>1.3428</v>
      </c>
      <c r="I32" s="18" t="inlineStr">
        <is>
          <t>Z</t>
        </is>
      </c>
      <c r="J32" s="18" t="inlineStr">
        <is>
          <t>AZ</t>
        </is>
      </c>
      <c r="K32" s="20" t="inlineStr">
        <is>
          <t>Dedicated Planner Review | Dynamic Safety Stock | Close Supplier Lead Time Tracking</t>
        </is>
      </c>
    </row>
    <row r="33">
      <c r="B33" s="9" t="inlineStr">
        <is>
          <t>FOODS_1_088</t>
        </is>
      </c>
      <c r="C33" s="10" t="n">
        <v>14056.52</v>
      </c>
      <c r="D33" s="13" t="n">
        <v>0.2944</v>
      </c>
      <c r="E33" s="18" t="inlineStr">
        <is>
          <t>A</t>
        </is>
      </c>
      <c r="F33" s="12" t="n">
        <v>1.5416</v>
      </c>
      <c r="G33" s="12" t="n">
        <v>2.1051</v>
      </c>
      <c r="H33" s="12" t="n">
        <v>1.3655</v>
      </c>
      <c r="I33" s="18" t="inlineStr">
        <is>
          <t>Z</t>
        </is>
      </c>
      <c r="J33" s="18" t="inlineStr">
        <is>
          <t>AZ</t>
        </is>
      </c>
      <c r="K33" s="20" t="inlineStr">
        <is>
          <t>Dedicated Planner Review | Dynamic Safety Stock | Close Supplier Lead Time Tracking</t>
        </is>
      </c>
    </row>
    <row r="34">
      <c r="B34" s="9" t="inlineStr">
        <is>
          <t>FOODS_1_217</t>
        </is>
      </c>
      <c r="C34" s="10" t="n">
        <v>13531.78</v>
      </c>
      <c r="D34" s="13" t="n">
        <v>0.3047</v>
      </c>
      <c r="E34" s="18" t="inlineStr">
        <is>
          <t>A</t>
        </is>
      </c>
      <c r="F34" s="12" t="n">
        <v>2.1035</v>
      </c>
      <c r="G34" s="12" t="n">
        <v>2.8982</v>
      </c>
      <c r="H34" s="12" t="n">
        <v>1.3778</v>
      </c>
      <c r="I34" s="18" t="inlineStr">
        <is>
          <t>Z</t>
        </is>
      </c>
      <c r="J34" s="18" t="inlineStr">
        <is>
          <t>AZ</t>
        </is>
      </c>
      <c r="K34" s="20" t="inlineStr">
        <is>
          <t>Dedicated Planner Review | Dynamic Safety Stock | Close Supplier Lead Time Tracking</t>
        </is>
      </c>
    </row>
    <row r="35">
      <c r="B35" s="9" t="inlineStr">
        <is>
          <t>FOODS_1_046</t>
        </is>
      </c>
      <c r="C35" s="10" t="n">
        <v>13374.12</v>
      </c>
      <c r="D35" s="13" t="n">
        <v>0.315</v>
      </c>
      <c r="E35" s="18" t="inlineStr">
        <is>
          <t>A</t>
        </is>
      </c>
      <c r="F35" s="12" t="n">
        <v>7.1302</v>
      </c>
      <c r="G35" s="12" t="n">
        <v>5.7704</v>
      </c>
      <c r="H35" s="12" t="n">
        <v>0.8093</v>
      </c>
      <c r="I35" s="18" t="inlineStr">
        <is>
          <t>Y</t>
        </is>
      </c>
      <c r="J35" s="18" t="inlineStr">
        <is>
          <t>AY</t>
        </is>
      </c>
      <c r="K35" s="20" t="inlineStr">
        <is>
          <t>Seasonal Forecasting | Medium Safety Stock Buffer | Weekly Demand Review</t>
        </is>
      </c>
    </row>
    <row r="36">
      <c r="B36" s="9" t="inlineStr">
        <is>
          <t>FOODS_1_173</t>
        </is>
      </c>
      <c r="C36" s="10" t="n">
        <v>13316.5</v>
      </c>
      <c r="D36" s="13" t="n">
        <v>0.3252</v>
      </c>
      <c r="E36" s="18" t="inlineStr">
        <is>
          <t>A</t>
        </is>
      </c>
      <c r="F36" s="12" t="n">
        <v>3.5107</v>
      </c>
      <c r="G36" s="12" t="n">
        <v>4.5488</v>
      </c>
      <c r="H36" s="12" t="n">
        <v>1.2957</v>
      </c>
      <c r="I36" s="18" t="inlineStr">
        <is>
          <t>Z</t>
        </is>
      </c>
      <c r="J36" s="18" t="inlineStr">
        <is>
          <t>AZ</t>
        </is>
      </c>
      <c r="K36" s="20" t="inlineStr">
        <is>
          <t>Dedicated Planner Review | Dynamic Safety Stock | Close Supplier Lead Time Tracking</t>
        </is>
      </c>
    </row>
    <row r="37">
      <c r="B37" s="9" t="inlineStr">
        <is>
          <t>FOODS_1_023</t>
        </is>
      </c>
      <c r="C37" s="10" t="n">
        <v>13314.25</v>
      </c>
      <c r="D37" s="13" t="n">
        <v>0.3354</v>
      </c>
      <c r="E37" s="18" t="inlineStr">
        <is>
          <t>A</t>
        </is>
      </c>
      <c r="F37" s="12" t="n">
        <v>1.3074</v>
      </c>
      <c r="G37" s="12" t="n">
        <v>2.0691</v>
      </c>
      <c r="H37" s="12" t="n">
        <v>1.5826</v>
      </c>
      <c r="I37" s="18" t="inlineStr">
        <is>
          <t>Z</t>
        </is>
      </c>
      <c r="J37" s="18" t="inlineStr">
        <is>
          <t>AZ</t>
        </is>
      </c>
      <c r="K37" s="20" t="inlineStr">
        <is>
          <t>Dedicated Planner Review | Dynamic Safety Stock | Close Supplier Lead Time Tracking</t>
        </is>
      </c>
    </row>
    <row r="38">
      <c r="B38" s="9" t="inlineStr">
        <is>
          <t>FOODS_1_099</t>
        </is>
      </c>
      <c r="C38" s="10" t="n">
        <v>12763.52</v>
      </c>
      <c r="D38" s="13" t="n">
        <v>0.3452</v>
      </c>
      <c r="E38" s="18" t="inlineStr">
        <is>
          <t>A</t>
        </is>
      </c>
      <c r="F38" s="12" t="n">
        <v>6.8082</v>
      </c>
      <c r="G38" s="12" t="n">
        <v>8.034700000000001</v>
      </c>
      <c r="H38" s="12" t="n">
        <v>1.1802</v>
      </c>
      <c r="I38" s="18" t="inlineStr">
        <is>
          <t>Z</t>
        </is>
      </c>
      <c r="J38" s="18" t="inlineStr">
        <is>
          <t>AZ</t>
        </is>
      </c>
      <c r="K38" s="20" t="inlineStr">
        <is>
          <t>Dedicated Planner Review | Dynamic Safety Stock | Close Supplier Lead Time Tracking</t>
        </is>
      </c>
    </row>
    <row r="39">
      <c r="B39" s="9" t="inlineStr">
        <is>
          <t>FOODS_1_162</t>
        </is>
      </c>
      <c r="C39" s="10" t="n">
        <v>12495.88</v>
      </c>
      <c r="D39" s="13" t="n">
        <v>0.3547999999999999</v>
      </c>
      <c r="E39" s="18" t="inlineStr">
        <is>
          <t>A</t>
        </is>
      </c>
      <c r="F39" s="12" t="n">
        <v>3.5353</v>
      </c>
      <c r="G39" s="12" t="n">
        <v>4.7288</v>
      </c>
      <c r="H39" s="12" t="n">
        <v>1.3376</v>
      </c>
      <c r="I39" s="18" t="inlineStr">
        <is>
          <t>Z</t>
        </is>
      </c>
      <c r="J39" s="18" t="inlineStr">
        <is>
          <t>AZ</t>
        </is>
      </c>
      <c r="K39" s="20" t="inlineStr">
        <is>
          <t>Dedicated Planner Review | Dynamic Safety Stock | Close Supplier Lead Time Tracking</t>
        </is>
      </c>
    </row>
    <row r="40">
      <c r="B40" s="9" t="inlineStr">
        <is>
          <t>FOODS_1_104</t>
        </is>
      </c>
      <c r="C40" s="10" t="n">
        <v>11446.54</v>
      </c>
      <c r="D40" s="13" t="n">
        <v>0.3636</v>
      </c>
      <c r="E40" s="18" t="inlineStr">
        <is>
          <t>A</t>
        </is>
      </c>
      <c r="F40" s="12" t="n">
        <v>1.7731</v>
      </c>
      <c r="G40" s="12" t="n">
        <v>2.4163</v>
      </c>
      <c r="H40" s="12" t="n">
        <v>1.3628</v>
      </c>
      <c r="I40" s="18" t="inlineStr">
        <is>
          <t>Z</t>
        </is>
      </c>
      <c r="J40" s="18" t="inlineStr">
        <is>
          <t>AZ</t>
        </is>
      </c>
      <c r="K40" s="20" t="inlineStr">
        <is>
          <t>Dedicated Planner Review | Dynamic Safety Stock | Close Supplier Lead Time Tracking</t>
        </is>
      </c>
    </row>
    <row r="41">
      <c r="B41" s="9" t="inlineStr">
        <is>
          <t>FOODS_1_178</t>
        </is>
      </c>
      <c r="C41" s="10" t="n">
        <v>11355.33</v>
      </c>
      <c r="D41" s="13" t="n">
        <v>0.3723</v>
      </c>
      <c r="E41" s="18" t="inlineStr">
        <is>
          <t>A</t>
        </is>
      </c>
      <c r="F41" s="12" t="n">
        <v>0.6419</v>
      </c>
      <c r="G41" s="12" t="n">
        <v>0.9101</v>
      </c>
      <c r="H41" s="12" t="n">
        <v>1.4178</v>
      </c>
      <c r="I41" s="18" t="inlineStr">
        <is>
          <t>Z</t>
        </is>
      </c>
      <c r="J41" s="18" t="inlineStr">
        <is>
          <t>AZ</t>
        </is>
      </c>
      <c r="K41" s="20" t="inlineStr">
        <is>
          <t>Dedicated Planner Review | Dynamic Safety Stock | Close Supplier Lead Time Tracking</t>
        </is>
      </c>
    </row>
    <row r="42">
      <c r="B42" s="9" t="inlineStr">
        <is>
          <t>FOODS_1_144</t>
        </is>
      </c>
      <c r="C42" s="10" t="n">
        <v>11131.54</v>
      </c>
      <c r="D42" s="13" t="n">
        <v>0.3809</v>
      </c>
      <c r="E42" s="18" t="inlineStr">
        <is>
          <t>A</t>
        </is>
      </c>
      <c r="F42" s="12" t="n">
        <v>0.8353</v>
      </c>
      <c r="G42" s="12" t="n">
        <v>1.0822</v>
      </c>
      <c r="H42" s="12" t="n">
        <v>1.2956</v>
      </c>
      <c r="I42" s="18" t="inlineStr">
        <is>
          <t>Z</t>
        </is>
      </c>
      <c r="J42" s="18" t="inlineStr">
        <is>
          <t>AZ</t>
        </is>
      </c>
      <c r="K42" s="20" t="inlineStr">
        <is>
          <t>Dedicated Planner Review | Dynamic Safety Stock | Close Supplier Lead Time Tracking</t>
        </is>
      </c>
    </row>
    <row r="43">
      <c r="B43" s="9" t="inlineStr">
        <is>
          <t>FOODS_1_150</t>
        </is>
      </c>
      <c r="C43" s="10" t="n">
        <v>11120.66</v>
      </c>
      <c r="D43" s="13" t="n">
        <v>0.3894</v>
      </c>
      <c r="E43" s="18" t="inlineStr">
        <is>
          <t>A</t>
        </is>
      </c>
      <c r="F43" s="12" t="n">
        <v>1.2133</v>
      </c>
      <c r="G43" s="12" t="n">
        <v>1.6401</v>
      </c>
      <c r="H43" s="12" t="n">
        <v>1.3518</v>
      </c>
      <c r="I43" s="18" t="inlineStr">
        <is>
          <t>Z</t>
        </is>
      </c>
      <c r="J43" s="18" t="inlineStr">
        <is>
          <t>AZ</t>
        </is>
      </c>
      <c r="K43" s="20" t="inlineStr">
        <is>
          <t>Dedicated Planner Review | Dynamic Safety Stock | Close Supplier Lead Time Tracking</t>
        </is>
      </c>
    </row>
    <row r="44">
      <c r="B44" s="9" t="inlineStr">
        <is>
          <t>FOODS_1_080</t>
        </is>
      </c>
      <c r="C44" s="10" t="n">
        <v>11056.66</v>
      </c>
      <c r="D44" s="13" t="n">
        <v>0.3979</v>
      </c>
      <c r="E44" s="18" t="inlineStr">
        <is>
          <t>A</t>
        </is>
      </c>
      <c r="F44" s="12" t="n">
        <v>0.7747000000000001</v>
      </c>
      <c r="G44" s="12" t="n">
        <v>1.1683</v>
      </c>
      <c r="H44" s="12" t="n">
        <v>1.5081</v>
      </c>
      <c r="I44" s="18" t="inlineStr">
        <is>
          <t>Z</t>
        </is>
      </c>
      <c r="J44" s="18" t="inlineStr">
        <is>
          <t>AZ</t>
        </is>
      </c>
      <c r="K44" s="20" t="inlineStr">
        <is>
          <t>Dedicated Planner Review | Dynamic Safety Stock | Close Supplier Lead Time Tracking</t>
        </is>
      </c>
    </row>
    <row r="45">
      <c r="B45" s="9" t="inlineStr">
        <is>
          <t>FOODS_1_206</t>
        </is>
      </c>
      <c r="C45" s="10" t="n">
        <v>10651.79</v>
      </c>
      <c r="D45" s="13" t="n">
        <v>0.406</v>
      </c>
      <c r="E45" s="18" t="inlineStr">
        <is>
          <t>A</t>
        </is>
      </c>
      <c r="F45" s="12" t="n">
        <v>2.805</v>
      </c>
      <c r="G45" s="12" t="n">
        <v>3.4095</v>
      </c>
      <c r="H45" s="12" t="n">
        <v>1.2155</v>
      </c>
      <c r="I45" s="18" t="inlineStr">
        <is>
          <t>Z</t>
        </is>
      </c>
      <c r="J45" s="18" t="inlineStr">
        <is>
          <t>AZ</t>
        </is>
      </c>
      <c r="K45" s="20" t="inlineStr">
        <is>
          <t>Dedicated Planner Review | Dynamic Safety Stock | Close Supplier Lead Time Tracking</t>
        </is>
      </c>
    </row>
    <row r="46">
      <c r="B46" s="9" t="inlineStr">
        <is>
          <t>FOODS_1_044</t>
        </is>
      </c>
      <c r="C46" s="10" t="n">
        <v>10569.36</v>
      </c>
      <c r="D46" s="13" t="n">
        <v>0.4142</v>
      </c>
      <c r="E46" s="18" t="inlineStr">
        <is>
          <t>A</t>
        </is>
      </c>
      <c r="F46" s="12" t="n">
        <v>2.0204</v>
      </c>
      <c r="G46" s="12" t="n">
        <v>3.0548</v>
      </c>
      <c r="H46" s="12" t="n">
        <v>1.512</v>
      </c>
      <c r="I46" s="18" t="inlineStr">
        <is>
          <t>Z</t>
        </is>
      </c>
      <c r="J46" s="18" t="inlineStr">
        <is>
          <t>AZ</t>
        </is>
      </c>
      <c r="K46" s="20" t="inlineStr">
        <is>
          <t>Dedicated Planner Review | Dynamic Safety Stock | Close Supplier Lead Time Tracking</t>
        </is>
      </c>
    </row>
    <row r="47">
      <c r="B47" s="9" t="inlineStr">
        <is>
          <t>FOODS_1_024</t>
        </is>
      </c>
      <c r="C47" s="10" t="n">
        <v>10502.2</v>
      </c>
      <c r="D47" s="13" t="n">
        <v>0.4222</v>
      </c>
      <c r="E47" s="18" t="inlineStr">
        <is>
          <t>A</t>
        </is>
      </c>
      <c r="F47" s="12" t="n">
        <v>1.1845</v>
      </c>
      <c r="G47" s="12" t="n">
        <v>1.469</v>
      </c>
      <c r="H47" s="12" t="n">
        <v>1.2402</v>
      </c>
      <c r="I47" s="18" t="inlineStr">
        <is>
          <t>Z</t>
        </is>
      </c>
      <c r="J47" s="18" t="inlineStr">
        <is>
          <t>AZ</t>
        </is>
      </c>
      <c r="K47" s="20" t="inlineStr">
        <is>
          <t>Dedicated Planner Review | Dynamic Safety Stock | Close Supplier Lead Time Tracking</t>
        </is>
      </c>
    </row>
    <row r="48">
      <c r="B48" s="9" t="inlineStr">
        <is>
          <t>FOODS_1_103</t>
        </is>
      </c>
      <c r="C48" s="10" t="n">
        <v>10452.62</v>
      </c>
      <c r="D48" s="13" t="n">
        <v>0.4302</v>
      </c>
      <c r="E48" s="18" t="inlineStr">
        <is>
          <t>A</t>
        </is>
      </c>
      <c r="F48" s="12" t="n">
        <v>1.414</v>
      </c>
      <c r="G48" s="12" t="n">
        <v>1.9761</v>
      </c>
      <c r="H48" s="12" t="n">
        <v>1.3975</v>
      </c>
      <c r="I48" s="18" t="inlineStr">
        <is>
          <t>Z</t>
        </is>
      </c>
      <c r="J48" s="18" t="inlineStr">
        <is>
          <t>AZ</t>
        </is>
      </c>
      <c r="K48" s="20" t="inlineStr">
        <is>
          <t>Dedicated Planner Review | Dynamic Safety Stock | Close Supplier Lead Time Tracking</t>
        </is>
      </c>
    </row>
    <row r="49">
      <c r="B49" s="9" t="inlineStr">
        <is>
          <t>FOODS_1_067</t>
        </is>
      </c>
      <c r="C49" s="10" t="n">
        <v>10397.53</v>
      </c>
      <c r="D49" s="13" t="n">
        <v>0.4382</v>
      </c>
      <c r="E49" s="18" t="inlineStr">
        <is>
          <t>A</t>
        </is>
      </c>
      <c r="F49" s="12" t="n">
        <v>2.7439</v>
      </c>
      <c r="G49" s="12" t="n">
        <v>3.5434</v>
      </c>
      <c r="H49" s="12" t="n">
        <v>1.2914</v>
      </c>
      <c r="I49" s="18" t="inlineStr">
        <is>
          <t>Z</t>
        </is>
      </c>
      <c r="J49" s="18" t="inlineStr">
        <is>
          <t>AZ</t>
        </is>
      </c>
      <c r="K49" s="20" t="inlineStr">
        <is>
          <t>Dedicated Planner Review | Dynamic Safety Stock | Close Supplier Lead Time Tracking</t>
        </is>
      </c>
    </row>
    <row r="50">
      <c r="B50" s="9" t="inlineStr">
        <is>
          <t>FOODS_1_058</t>
        </is>
      </c>
      <c r="C50" s="10" t="n">
        <v>10289.38</v>
      </c>
      <c r="D50" s="13" t="n">
        <v>0.4461</v>
      </c>
      <c r="E50" s="18" t="inlineStr">
        <is>
          <t>A</t>
        </is>
      </c>
      <c r="F50" s="12" t="n">
        <v>2.9404</v>
      </c>
      <c r="G50" s="12" t="n">
        <v>3.6493</v>
      </c>
      <c r="H50" s="12" t="n">
        <v>1.2411</v>
      </c>
      <c r="I50" s="18" t="inlineStr">
        <is>
          <t>Z</t>
        </is>
      </c>
      <c r="J50" s="18" t="inlineStr">
        <is>
          <t>AZ</t>
        </is>
      </c>
      <c r="K50" s="20" t="inlineStr">
        <is>
          <t>Dedicated Planner Review | Dynamic Safety Stock | Close Supplier Lead Time Tracking</t>
        </is>
      </c>
    </row>
    <row r="51">
      <c r="B51" s="9" t="inlineStr">
        <is>
          <t>FOODS_1_219</t>
        </is>
      </c>
      <c r="C51" s="10" t="n">
        <v>10069.15</v>
      </c>
      <c r="D51" s="13" t="n">
        <v>0.4538</v>
      </c>
      <c r="E51" s="18" t="inlineStr">
        <is>
          <t>A</t>
        </is>
      </c>
      <c r="F51" s="12" t="n">
        <v>2.4647</v>
      </c>
      <c r="G51" s="12" t="n">
        <v>2.8297</v>
      </c>
      <c r="H51" s="12" t="n">
        <v>1.1481</v>
      </c>
      <c r="I51" s="18" t="inlineStr">
        <is>
          <t>Z</t>
        </is>
      </c>
      <c r="J51" s="18" t="inlineStr">
        <is>
          <t>AZ</t>
        </is>
      </c>
      <c r="K51" s="20" t="inlineStr">
        <is>
          <t>Dedicated Planner Review | Dynamic Safety Stock | Close Supplier Lead Time Tracking</t>
        </is>
      </c>
    </row>
    <row r="52">
      <c r="B52" s="9" t="inlineStr">
        <is>
          <t>FOODS_1_197</t>
        </is>
      </c>
      <c r="C52" s="10" t="n">
        <v>10027.22</v>
      </c>
      <c r="D52" s="13" t="n">
        <v>0.4615</v>
      </c>
      <c r="E52" s="18" t="inlineStr">
        <is>
          <t>A</t>
        </is>
      </c>
      <c r="F52" s="12" t="n">
        <v>1.1129</v>
      </c>
      <c r="G52" s="12" t="n">
        <v>1.3606</v>
      </c>
      <c r="H52" s="12" t="n">
        <v>1.2226</v>
      </c>
      <c r="I52" s="18" t="inlineStr">
        <is>
          <t>Z</t>
        </is>
      </c>
      <c r="J52" s="18" t="inlineStr">
        <is>
          <t>AZ</t>
        </is>
      </c>
      <c r="K52" s="20" t="inlineStr">
        <is>
          <t>Dedicated Planner Review | Dynamic Safety Stock | Close Supplier Lead Time Tracking</t>
        </is>
      </c>
    </row>
    <row r="53">
      <c r="B53" s="9" t="inlineStr">
        <is>
          <t>FOODS_1_137</t>
        </is>
      </c>
      <c r="C53" s="10" t="n">
        <v>9566.58</v>
      </c>
      <c r="D53" s="13" t="n">
        <v>0.4689</v>
      </c>
      <c r="E53" s="18" t="inlineStr">
        <is>
          <t>A</t>
        </is>
      </c>
      <c r="F53" s="12" t="n">
        <v>2.5264</v>
      </c>
      <c r="G53" s="12" t="n">
        <v>3.6509</v>
      </c>
      <c r="H53" s="12" t="n">
        <v>1.4451</v>
      </c>
      <c r="I53" s="18" t="inlineStr">
        <is>
          <t>Z</t>
        </is>
      </c>
      <c r="J53" s="18" t="inlineStr">
        <is>
          <t>AZ</t>
        </is>
      </c>
      <c r="K53" s="20" t="inlineStr">
        <is>
          <t>Dedicated Planner Review | Dynamic Safety Stock | Close Supplier Lead Time Tracking</t>
        </is>
      </c>
    </row>
    <row r="54">
      <c r="B54" s="9" t="inlineStr">
        <is>
          <t>FOODS_1_038</t>
        </is>
      </c>
      <c r="C54" s="10" t="n">
        <v>9381.74</v>
      </c>
      <c r="D54" s="13" t="n">
        <v>0.4761</v>
      </c>
      <c r="E54" s="18" t="inlineStr">
        <is>
          <t>A</t>
        </is>
      </c>
      <c r="F54" s="12" t="n">
        <v>0.5405</v>
      </c>
      <c r="G54" s="12" t="n">
        <v>0.9024</v>
      </c>
      <c r="H54" s="12" t="n">
        <v>1.6696</v>
      </c>
      <c r="I54" s="18" t="inlineStr">
        <is>
          <t>Z</t>
        </is>
      </c>
      <c r="J54" s="18" t="inlineStr">
        <is>
          <t>AZ</t>
        </is>
      </c>
      <c r="K54" s="20" t="inlineStr">
        <is>
          <t>Dedicated Planner Review | Dynamic Safety Stock | Close Supplier Lead Time Tracking</t>
        </is>
      </c>
    </row>
    <row r="55">
      <c r="B55" s="9" t="inlineStr">
        <is>
          <t>FOODS_1_045</t>
        </is>
      </c>
      <c r="C55" s="10" t="n">
        <v>9377.620000000001</v>
      </c>
      <c r="D55" s="13" t="n">
        <v>0.4832</v>
      </c>
      <c r="E55" s="18" t="inlineStr">
        <is>
          <t>A</t>
        </is>
      </c>
      <c r="F55" s="12" t="n">
        <v>2.6644</v>
      </c>
      <c r="G55" s="12" t="n">
        <v>2.7249</v>
      </c>
      <c r="H55" s="12" t="n">
        <v>1.0227</v>
      </c>
      <c r="I55" s="18" t="inlineStr">
        <is>
          <t>Z</t>
        </is>
      </c>
      <c r="J55" s="18" t="inlineStr">
        <is>
          <t>AZ</t>
        </is>
      </c>
      <c r="K55" s="20" t="inlineStr">
        <is>
          <t>Dedicated Planner Review | Dynamic Safety Stock | Close Supplier Lead Time Tracking</t>
        </is>
      </c>
    </row>
    <row r="56">
      <c r="B56" s="9" t="inlineStr">
        <is>
          <t>FOODS_1_081</t>
        </is>
      </c>
      <c r="C56" s="10" t="n">
        <v>9003.309999999999</v>
      </c>
      <c r="D56" s="13" t="n">
        <v>0.4902</v>
      </c>
      <c r="E56" s="18" t="inlineStr">
        <is>
          <t>A</t>
        </is>
      </c>
      <c r="F56" s="12" t="n">
        <v>0.8725000000000001</v>
      </c>
      <c r="G56" s="12" t="n">
        <v>1.6227</v>
      </c>
      <c r="H56" s="12" t="n">
        <v>1.8598</v>
      </c>
      <c r="I56" s="18" t="inlineStr">
        <is>
          <t>Z</t>
        </is>
      </c>
      <c r="J56" s="18" t="inlineStr">
        <is>
          <t>AZ</t>
        </is>
      </c>
      <c r="K56" s="20" t="inlineStr">
        <is>
          <t>Dedicated Planner Review | Dynamic Safety Stock | Close Supplier Lead Time Tracking</t>
        </is>
      </c>
    </row>
    <row r="57">
      <c r="B57" s="9" t="inlineStr">
        <is>
          <t>FOODS_1_174</t>
        </is>
      </c>
      <c r="C57" s="10" t="n">
        <v>8927.84</v>
      </c>
      <c r="D57" s="13" t="n">
        <v>0.4970000000000001</v>
      </c>
      <c r="E57" s="18" t="inlineStr">
        <is>
          <t>A</t>
        </is>
      </c>
      <c r="F57" s="12" t="n">
        <v>0.9749</v>
      </c>
      <c r="G57" s="12" t="n">
        <v>1.2845</v>
      </c>
      <c r="H57" s="12" t="n">
        <v>1.3176</v>
      </c>
      <c r="I57" s="18" t="inlineStr">
        <is>
          <t>Z</t>
        </is>
      </c>
      <c r="J57" s="18" t="inlineStr">
        <is>
          <t>AZ</t>
        </is>
      </c>
      <c r="K57" s="20" t="inlineStr">
        <is>
          <t>Dedicated Planner Review | Dynamic Safety Stock | Close Supplier Lead Time Tracking</t>
        </is>
      </c>
    </row>
    <row r="58">
      <c r="B58" s="9" t="inlineStr">
        <is>
          <t>FOODS_1_166</t>
        </is>
      </c>
      <c r="C58" s="10" t="n">
        <v>8908.09</v>
      </c>
      <c r="D58" s="13" t="n">
        <v>0.5038</v>
      </c>
      <c r="E58" s="18" t="inlineStr">
        <is>
          <t>A</t>
        </is>
      </c>
      <c r="F58" s="12" t="n">
        <v>2.1777</v>
      </c>
      <c r="G58" s="12" t="n">
        <v>2.5025</v>
      </c>
      <c r="H58" s="12" t="n">
        <v>1.1491</v>
      </c>
      <c r="I58" s="18" t="inlineStr">
        <is>
          <t>Z</t>
        </is>
      </c>
      <c r="J58" s="18" t="inlineStr">
        <is>
          <t>AZ</t>
        </is>
      </c>
      <c r="K58" s="20" t="inlineStr">
        <is>
          <t>Dedicated Planner Review | Dynamic Safety Stock | Close Supplier Lead Time Tracking</t>
        </is>
      </c>
    </row>
    <row r="59">
      <c r="B59" s="9" t="inlineStr">
        <is>
          <t>FOODS_1_112</t>
        </is>
      </c>
      <c r="C59" s="10" t="n">
        <v>8781.299999999999</v>
      </c>
      <c r="D59" s="13" t="n">
        <v>0.5106000000000001</v>
      </c>
      <c r="E59" s="18" t="inlineStr">
        <is>
          <t>A</t>
        </is>
      </c>
      <c r="F59" s="12" t="n">
        <v>2.3183</v>
      </c>
      <c r="G59" s="12" t="n">
        <v>2.469</v>
      </c>
      <c r="H59" s="12" t="n">
        <v>1.065</v>
      </c>
      <c r="I59" s="18" t="inlineStr">
        <is>
          <t>Z</t>
        </is>
      </c>
      <c r="J59" s="18" t="inlineStr">
        <is>
          <t>AZ</t>
        </is>
      </c>
      <c r="K59" s="20" t="inlineStr">
        <is>
          <t>Dedicated Planner Review | Dynamic Safety Stock | Close Supplier Lead Time Tracking</t>
        </is>
      </c>
    </row>
    <row r="60">
      <c r="B60" s="9" t="inlineStr">
        <is>
          <t>FOODS_1_140</t>
        </is>
      </c>
      <c r="C60" s="10" t="n">
        <v>8761.139999999999</v>
      </c>
      <c r="D60" s="13" t="n">
        <v>0.5173</v>
      </c>
      <c r="E60" s="18" t="inlineStr">
        <is>
          <t>A</t>
        </is>
      </c>
      <c r="F60" s="12" t="n">
        <v>0.6602</v>
      </c>
      <c r="G60" s="12" t="n">
        <v>1.0483</v>
      </c>
      <c r="H60" s="12" t="n">
        <v>1.5879</v>
      </c>
      <c r="I60" s="18" t="inlineStr">
        <is>
          <t>Z</t>
        </is>
      </c>
      <c r="J60" s="18" t="inlineStr">
        <is>
          <t>AZ</t>
        </is>
      </c>
      <c r="K60" s="20" t="inlineStr">
        <is>
          <t>Dedicated Planner Review | Dynamic Safety Stock | Close Supplier Lead Time Tracking</t>
        </is>
      </c>
    </row>
    <row r="61">
      <c r="B61" s="9" t="inlineStr">
        <is>
          <t>FOODS_1_172</t>
        </is>
      </c>
      <c r="C61" s="10" t="n">
        <v>8437.1</v>
      </c>
      <c r="D61" s="13" t="n">
        <v>0.5238</v>
      </c>
      <c r="E61" s="18" t="inlineStr">
        <is>
          <t>A</t>
        </is>
      </c>
      <c r="F61" s="12" t="n">
        <v>2.3272</v>
      </c>
      <c r="G61" s="12" t="n">
        <v>2.0919</v>
      </c>
      <c r="H61" s="12" t="n">
        <v>0.8989</v>
      </c>
      <c r="I61" s="18" t="inlineStr">
        <is>
          <t>Y</t>
        </is>
      </c>
      <c r="J61" s="18" t="inlineStr">
        <is>
          <t>AY</t>
        </is>
      </c>
      <c r="K61" s="20" t="inlineStr">
        <is>
          <t>Seasonal Forecasting | Medium Safety Stock Buffer | Weekly Demand Review</t>
        </is>
      </c>
    </row>
    <row r="62">
      <c r="B62" s="9" t="inlineStr">
        <is>
          <t>FOODS_1_207</t>
        </is>
      </c>
      <c r="C62" s="10" t="n">
        <v>8342.48</v>
      </c>
      <c r="D62" s="13" t="n">
        <v>0.5302</v>
      </c>
      <c r="E62" s="18" t="inlineStr">
        <is>
          <t>A</t>
        </is>
      </c>
      <c r="F62" s="12" t="n">
        <v>1.3246</v>
      </c>
      <c r="G62" s="12" t="n">
        <v>1.5476</v>
      </c>
      <c r="H62" s="12" t="n">
        <v>1.1684</v>
      </c>
      <c r="I62" s="18" t="inlineStr">
        <is>
          <t>Z</t>
        </is>
      </c>
      <c r="J62" s="18" t="inlineStr">
        <is>
          <t>AZ</t>
        </is>
      </c>
      <c r="K62" s="20" t="inlineStr">
        <is>
          <t>Dedicated Planner Review | Dynamic Safety Stock | Close Supplier Lead Time Tracking</t>
        </is>
      </c>
    </row>
    <row r="63">
      <c r="B63" s="9" t="inlineStr">
        <is>
          <t>FOODS_1_201</t>
        </is>
      </c>
      <c r="C63" s="10" t="n">
        <v>8311.190000000001</v>
      </c>
      <c r="D63" s="13" t="n">
        <v>0.5365</v>
      </c>
      <c r="E63" s="18" t="inlineStr">
        <is>
          <t>A</t>
        </is>
      </c>
      <c r="F63" s="12" t="n">
        <v>2.0486</v>
      </c>
      <c r="G63" s="12" t="n">
        <v>2.4721</v>
      </c>
      <c r="H63" s="12" t="n">
        <v>1.2067</v>
      </c>
      <c r="I63" s="18" t="inlineStr">
        <is>
          <t>Z</t>
        </is>
      </c>
      <c r="J63" s="18" t="inlineStr">
        <is>
          <t>AZ</t>
        </is>
      </c>
      <c r="K63" s="20" t="inlineStr">
        <is>
          <t>Dedicated Planner Review | Dynamic Safety Stock | Close Supplier Lead Time Tracking</t>
        </is>
      </c>
    </row>
    <row r="64">
      <c r="B64" s="9" t="inlineStr">
        <is>
          <t>FOODS_1_106</t>
        </is>
      </c>
      <c r="C64" s="10" t="n">
        <v>8235.219999999999</v>
      </c>
      <c r="D64" s="13" t="n">
        <v>0.5428999999999999</v>
      </c>
      <c r="E64" s="18" t="inlineStr">
        <is>
          <t>A</t>
        </is>
      </c>
      <c r="F64" s="12" t="n">
        <v>1.3105</v>
      </c>
      <c r="G64" s="12" t="n">
        <v>1.5439</v>
      </c>
      <c r="H64" s="12" t="n">
        <v>1.1781</v>
      </c>
      <c r="I64" s="18" t="inlineStr">
        <is>
          <t>Z</t>
        </is>
      </c>
      <c r="J64" s="18" t="inlineStr">
        <is>
          <t>AZ</t>
        </is>
      </c>
      <c r="K64" s="20" t="inlineStr">
        <is>
          <t>Dedicated Planner Review | Dynamic Safety Stock | Close Supplier Lead Time Tracking</t>
        </is>
      </c>
    </row>
    <row r="65">
      <c r="B65" s="9" t="inlineStr">
        <is>
          <t>FOODS_1_076</t>
        </is>
      </c>
      <c r="C65" s="10" t="n">
        <v>8213.74</v>
      </c>
      <c r="D65" s="13" t="n">
        <v>0.5492</v>
      </c>
      <c r="E65" s="18" t="inlineStr">
        <is>
          <t>A</t>
        </is>
      </c>
      <c r="F65" s="12" t="n">
        <v>0.7862</v>
      </c>
      <c r="G65" s="12" t="n">
        <v>1.0165</v>
      </c>
      <c r="H65" s="12" t="n">
        <v>1.2929</v>
      </c>
      <c r="I65" s="18" t="inlineStr">
        <is>
          <t>Z</t>
        </is>
      </c>
      <c r="J65" s="18" t="inlineStr">
        <is>
          <t>AZ</t>
        </is>
      </c>
      <c r="K65" s="20" t="inlineStr">
        <is>
          <t>Dedicated Planner Review | Dynamic Safety Stock | Close Supplier Lead Time Tracking</t>
        </is>
      </c>
    </row>
    <row r="66">
      <c r="B66" s="9" t="inlineStr">
        <is>
          <t>FOODS_1_002</t>
        </is>
      </c>
      <c r="C66" s="10" t="n">
        <v>8062.12</v>
      </c>
      <c r="D66" s="13" t="n">
        <v>0.5554</v>
      </c>
      <c r="E66" s="18" t="inlineStr">
        <is>
          <t>A</t>
        </is>
      </c>
      <c r="F66" s="12" t="n">
        <v>0.4778</v>
      </c>
      <c r="G66" s="12" t="n">
        <v>0.8038</v>
      </c>
      <c r="H66" s="12" t="n">
        <v>1.6823</v>
      </c>
      <c r="I66" s="18" t="inlineStr">
        <is>
          <t>Z</t>
        </is>
      </c>
      <c r="J66" s="18" t="inlineStr">
        <is>
          <t>AZ</t>
        </is>
      </c>
      <c r="K66" s="20" t="inlineStr">
        <is>
          <t>Dedicated Planner Review | Dynamic Safety Stock | Close Supplier Lead Time Tracking</t>
        </is>
      </c>
    </row>
    <row r="67">
      <c r="B67" s="9" t="inlineStr">
        <is>
          <t>FOODS_1_019</t>
        </is>
      </c>
      <c r="C67" s="10" t="n">
        <v>7997.8</v>
      </c>
      <c r="D67" s="13" t="n">
        <v>0.5615</v>
      </c>
      <c r="E67" s="18" t="inlineStr">
        <is>
          <t>A</t>
        </is>
      </c>
      <c r="F67" s="12" t="n">
        <v>4.0523</v>
      </c>
      <c r="G67" s="12" t="n">
        <v>5.2549</v>
      </c>
      <c r="H67" s="12" t="n">
        <v>1.2968</v>
      </c>
      <c r="I67" s="18" t="inlineStr">
        <is>
          <t>Z</t>
        </is>
      </c>
      <c r="J67" s="18" t="inlineStr">
        <is>
          <t>AZ</t>
        </is>
      </c>
      <c r="K67" s="20" t="inlineStr">
        <is>
          <t>Dedicated Planner Review | Dynamic Safety Stock | Close Supplier Lead Time Tracking</t>
        </is>
      </c>
    </row>
    <row r="68">
      <c r="B68" s="9" t="inlineStr">
        <is>
          <t>FOODS_1_040</t>
        </is>
      </c>
      <c r="C68" s="10" t="n">
        <v>7782.69</v>
      </c>
      <c r="D68" s="13" t="n">
        <v>0.5675</v>
      </c>
      <c r="E68" s="18" t="inlineStr">
        <is>
          <t>A</t>
        </is>
      </c>
      <c r="F68" s="12" t="n">
        <v>2.2175</v>
      </c>
      <c r="G68" s="12" t="n">
        <v>2.3924</v>
      </c>
      <c r="H68" s="12" t="n">
        <v>1.0789</v>
      </c>
      <c r="I68" s="18" t="inlineStr">
        <is>
          <t>Z</t>
        </is>
      </c>
      <c r="J68" s="18" t="inlineStr">
        <is>
          <t>AZ</t>
        </is>
      </c>
      <c r="K68" s="20" t="inlineStr">
        <is>
          <t>Dedicated Planner Review | Dynamic Safety Stock | Close Supplier Lead Time Tracking</t>
        </is>
      </c>
    </row>
    <row r="69">
      <c r="B69" s="9" t="inlineStr">
        <is>
          <t>FOODS_1_064</t>
        </is>
      </c>
      <c r="C69" s="10" t="n">
        <v>7601.6</v>
      </c>
      <c r="D69" s="13" t="n">
        <v>0.5733</v>
      </c>
      <c r="E69" s="18" t="inlineStr">
        <is>
          <t>A</t>
        </is>
      </c>
      <c r="F69" s="12" t="n">
        <v>1.5191</v>
      </c>
      <c r="G69" s="12" t="n">
        <v>1.6031</v>
      </c>
      <c r="H69" s="12" t="n">
        <v>1.0553</v>
      </c>
      <c r="I69" s="18" t="inlineStr">
        <is>
          <t>Z</t>
        </is>
      </c>
      <c r="J69" s="18" t="inlineStr">
        <is>
          <t>AZ</t>
        </is>
      </c>
      <c r="K69" s="20" t="inlineStr">
        <is>
          <t>Dedicated Planner Review | Dynamic Safety Stock | Close Supplier Lead Time Tracking</t>
        </is>
      </c>
    </row>
    <row r="70">
      <c r="B70" s="9" t="inlineStr">
        <is>
          <t>FOODS_1_153</t>
        </is>
      </c>
      <c r="C70" s="10" t="n">
        <v>7516.14</v>
      </c>
      <c r="D70" s="13" t="n">
        <v>0.5790999999999999</v>
      </c>
      <c r="E70" s="18" t="inlineStr">
        <is>
          <t>A</t>
        </is>
      </c>
      <c r="F70" s="12" t="n">
        <v>2.0768</v>
      </c>
      <c r="G70" s="12" t="n">
        <v>2.0161</v>
      </c>
      <c r="H70" s="12" t="n">
        <v>0.9708</v>
      </c>
      <c r="I70" s="18" t="inlineStr">
        <is>
          <t>Y</t>
        </is>
      </c>
      <c r="J70" s="18" t="inlineStr">
        <is>
          <t>AY</t>
        </is>
      </c>
      <c r="K70" s="20" t="inlineStr">
        <is>
          <t>Seasonal Forecasting | Medium Safety Stock Buffer | Weekly Demand Review</t>
        </is>
      </c>
    </row>
    <row r="71">
      <c r="B71" s="9" t="inlineStr">
        <is>
          <t>FOODS_1_167</t>
        </is>
      </c>
      <c r="C71" s="10" t="n">
        <v>7408.45</v>
      </c>
      <c r="D71" s="13" t="n">
        <v>0.5847</v>
      </c>
      <c r="E71" s="18" t="inlineStr">
        <is>
          <t>A</t>
        </is>
      </c>
      <c r="F71" s="12" t="n">
        <v>0.84</v>
      </c>
      <c r="G71" s="12" t="n">
        <v>1.1519</v>
      </c>
      <c r="H71" s="12" t="n">
        <v>1.3713</v>
      </c>
      <c r="I71" s="18" t="inlineStr">
        <is>
          <t>Z</t>
        </is>
      </c>
      <c r="J71" s="18" t="inlineStr">
        <is>
          <t>AZ</t>
        </is>
      </c>
      <c r="K71" s="20" t="inlineStr">
        <is>
          <t>Dedicated Planner Review | Dynamic Safety Stock | Close Supplier Lead Time Tracking</t>
        </is>
      </c>
    </row>
    <row r="72">
      <c r="B72" s="9" t="inlineStr">
        <is>
          <t>FOODS_1_005</t>
        </is>
      </c>
      <c r="C72" s="10" t="n">
        <v>7393.36</v>
      </c>
      <c r="D72" s="13" t="n">
        <v>0.5904</v>
      </c>
      <c r="E72" s="18" t="inlineStr">
        <is>
          <t>A</t>
        </is>
      </c>
      <c r="F72" s="12" t="n">
        <v>1.1626</v>
      </c>
      <c r="G72" s="12" t="n">
        <v>2.0157</v>
      </c>
      <c r="H72" s="12" t="n">
        <v>1.7338</v>
      </c>
      <c r="I72" s="18" t="inlineStr">
        <is>
          <t>Z</t>
        </is>
      </c>
      <c r="J72" s="18" t="inlineStr">
        <is>
          <t>AZ</t>
        </is>
      </c>
      <c r="K72" s="20" t="inlineStr">
        <is>
          <t>Dedicated Planner Review | Dynamic Safety Stock | Close Supplier Lead Time Tracking</t>
        </is>
      </c>
    </row>
    <row r="73">
      <c r="B73" s="9" t="inlineStr">
        <is>
          <t>FOODS_1_216</t>
        </is>
      </c>
      <c r="C73" s="10" t="n">
        <v>7343.18</v>
      </c>
      <c r="D73" s="13" t="n">
        <v>0.596</v>
      </c>
      <c r="E73" s="18" t="inlineStr">
        <is>
          <t>A</t>
        </is>
      </c>
      <c r="F73" s="12" t="n">
        <v>0.7763</v>
      </c>
      <c r="G73" s="12" t="n">
        <v>1.3006</v>
      </c>
      <c r="H73" s="12" t="n">
        <v>1.6754</v>
      </c>
      <c r="I73" s="18" t="inlineStr">
        <is>
          <t>Z</t>
        </is>
      </c>
      <c r="J73" s="18" t="inlineStr">
        <is>
          <t>AZ</t>
        </is>
      </c>
      <c r="K73" s="20" t="inlineStr">
        <is>
          <t>Dedicated Planner Review | Dynamic Safety Stock | Close Supplier Lead Time Tracking</t>
        </is>
      </c>
    </row>
    <row r="74">
      <c r="B74" s="9" t="inlineStr">
        <is>
          <t>FOODS_1_021</t>
        </is>
      </c>
      <c r="C74" s="10" t="n">
        <v>7141.26</v>
      </c>
      <c r="D74" s="13" t="n">
        <v>0.6015</v>
      </c>
      <c r="E74" s="18" t="inlineStr">
        <is>
          <t>A</t>
        </is>
      </c>
      <c r="F74" s="12" t="n">
        <v>3.8092</v>
      </c>
      <c r="G74" s="12" t="n">
        <v>6.5088</v>
      </c>
      <c r="H74" s="12" t="n">
        <v>1.7087</v>
      </c>
      <c r="I74" s="18" t="inlineStr">
        <is>
          <t>Z</t>
        </is>
      </c>
      <c r="J74" s="18" t="inlineStr">
        <is>
          <t>AZ</t>
        </is>
      </c>
      <c r="K74" s="20" t="inlineStr">
        <is>
          <t>Dedicated Planner Review | Dynamic Safety Stock | Close Supplier Lead Time Tracking</t>
        </is>
      </c>
    </row>
    <row r="75">
      <c r="B75" s="9" t="inlineStr">
        <is>
          <t>FOODS_1_154</t>
        </is>
      </c>
      <c r="C75" s="10" t="n">
        <v>6922.1</v>
      </c>
      <c r="D75" s="13" t="n">
        <v>0.6068</v>
      </c>
      <c r="E75" s="18" t="inlineStr">
        <is>
          <t>A</t>
        </is>
      </c>
      <c r="F75" s="12" t="n">
        <v>2.4543</v>
      </c>
      <c r="G75" s="12" t="n">
        <v>3.5415</v>
      </c>
      <c r="H75" s="12" t="n">
        <v>1.443</v>
      </c>
      <c r="I75" s="18" t="inlineStr">
        <is>
          <t>Z</t>
        </is>
      </c>
      <c r="J75" s="18" t="inlineStr">
        <is>
          <t>AZ</t>
        </is>
      </c>
      <c r="K75" s="20" t="inlineStr">
        <is>
          <t>Dedicated Planner Review | Dynamic Safety Stock | Close Supplier Lead Time Tracking</t>
        </is>
      </c>
    </row>
    <row r="76">
      <c r="B76" s="9" t="inlineStr">
        <is>
          <t>FOODS_1_031</t>
        </is>
      </c>
      <c r="C76" s="10" t="n">
        <v>6921.7</v>
      </c>
      <c r="D76" s="13" t="n">
        <v>0.6121</v>
      </c>
      <c r="E76" s="18" t="inlineStr">
        <is>
          <t>A</t>
        </is>
      </c>
      <c r="F76" s="12" t="n">
        <v>1.0711</v>
      </c>
      <c r="G76" s="12" t="n">
        <v>1.7342</v>
      </c>
      <c r="H76" s="12" t="n">
        <v>1.6191</v>
      </c>
      <c r="I76" s="18" t="inlineStr">
        <is>
          <t>Z</t>
        </is>
      </c>
      <c r="J76" s="18" t="inlineStr">
        <is>
          <t>AZ</t>
        </is>
      </c>
      <c r="K76" s="20" t="inlineStr">
        <is>
          <t>Dedicated Planner Review | Dynamic Safety Stock | Close Supplier Lead Time Tracking</t>
        </is>
      </c>
    </row>
    <row r="77">
      <c r="B77" s="9" t="inlineStr">
        <is>
          <t>FOODS_1_026</t>
        </is>
      </c>
      <c r="C77" s="10" t="n">
        <v>6794.46</v>
      </c>
      <c r="D77" s="13" t="n">
        <v>0.6174000000000001</v>
      </c>
      <c r="E77" s="18" t="inlineStr">
        <is>
          <t>A</t>
        </is>
      </c>
      <c r="F77" s="12" t="n">
        <v>0.5107</v>
      </c>
      <c r="G77" s="12" t="n">
        <v>0.8928</v>
      </c>
      <c r="H77" s="12" t="n">
        <v>1.7482</v>
      </c>
      <c r="I77" s="18" t="inlineStr">
        <is>
          <t>Z</t>
        </is>
      </c>
      <c r="J77" s="18" t="inlineStr">
        <is>
          <t>AZ</t>
        </is>
      </c>
      <c r="K77" s="20" t="inlineStr">
        <is>
          <t>Dedicated Planner Review | Dynamic Safety Stock | Close Supplier Lead Time Tracking</t>
        </is>
      </c>
    </row>
    <row r="78">
      <c r="B78" s="9" t="inlineStr">
        <is>
          <t>FOODS_1_061</t>
        </is>
      </c>
      <c r="C78" s="10" t="n">
        <v>6788.4</v>
      </c>
      <c r="D78" s="13" t="n">
        <v>0.6225999999999999</v>
      </c>
      <c r="E78" s="18" t="inlineStr">
        <is>
          <t>A</t>
        </is>
      </c>
      <c r="F78" s="12" t="n">
        <v>1.6451</v>
      </c>
      <c r="G78" s="12" t="n">
        <v>1.8817</v>
      </c>
      <c r="H78" s="12" t="n">
        <v>1.1438</v>
      </c>
      <c r="I78" s="18" t="inlineStr">
        <is>
          <t>Z</t>
        </is>
      </c>
      <c r="J78" s="18" t="inlineStr">
        <is>
          <t>AZ</t>
        </is>
      </c>
      <c r="K78" s="20" t="inlineStr">
        <is>
          <t>Dedicated Planner Review | Dynamic Safety Stock | Close Supplier Lead Time Tracking</t>
        </is>
      </c>
    </row>
    <row r="79">
      <c r="B79" s="9" t="inlineStr">
        <is>
          <t>FOODS_1_074</t>
        </is>
      </c>
      <c r="C79" s="10" t="n">
        <v>6578.86</v>
      </c>
      <c r="D79" s="13" t="n">
        <v>0.6275999999999999</v>
      </c>
      <c r="E79" s="18" t="inlineStr">
        <is>
          <t>A</t>
        </is>
      </c>
      <c r="F79" s="12" t="n">
        <v>1.5379</v>
      </c>
      <c r="G79" s="12" t="n">
        <v>2.0049</v>
      </c>
      <c r="H79" s="12" t="n">
        <v>1.3037</v>
      </c>
      <c r="I79" s="18" t="inlineStr">
        <is>
          <t>Z</t>
        </is>
      </c>
      <c r="J79" s="18" t="inlineStr">
        <is>
          <t>AZ</t>
        </is>
      </c>
      <c r="K79" s="20" t="inlineStr">
        <is>
          <t>Dedicated Planner Review | Dynamic Safety Stock | Close Supplier Lead Time Tracking</t>
        </is>
      </c>
    </row>
    <row r="80">
      <c r="B80" s="9" t="inlineStr">
        <is>
          <t>FOODS_1_036</t>
        </is>
      </c>
      <c r="C80" s="10" t="n">
        <v>6546.34</v>
      </c>
      <c r="D80" s="13" t="n">
        <v>0.6325999999999999</v>
      </c>
      <c r="E80" s="18" t="inlineStr">
        <is>
          <t>A</t>
        </is>
      </c>
      <c r="F80" s="12" t="n">
        <v>1.9603</v>
      </c>
      <c r="G80" s="12" t="n">
        <v>2.228</v>
      </c>
      <c r="H80" s="12" t="n">
        <v>1.1366</v>
      </c>
      <c r="I80" s="18" t="inlineStr">
        <is>
          <t>Z</t>
        </is>
      </c>
      <c r="J80" s="18" t="inlineStr">
        <is>
          <t>AZ</t>
        </is>
      </c>
      <c r="K80" s="20" t="inlineStr">
        <is>
          <t>Dedicated Planner Review | Dynamic Safety Stock | Close Supplier Lead Time Tracking</t>
        </is>
      </c>
    </row>
    <row r="81">
      <c r="B81" s="9" t="inlineStr">
        <is>
          <t>FOODS_1_054</t>
        </is>
      </c>
      <c r="C81" s="10" t="n">
        <v>6518.54</v>
      </c>
      <c r="D81" s="13" t="n">
        <v>0.6375999999999999</v>
      </c>
      <c r="E81" s="18" t="inlineStr">
        <is>
          <t>A</t>
        </is>
      </c>
      <c r="F81" s="12" t="n">
        <v>1.8076</v>
      </c>
      <c r="G81" s="12" t="n">
        <v>1.8369</v>
      </c>
      <c r="H81" s="12" t="n">
        <v>1.0162</v>
      </c>
      <c r="I81" s="18" t="inlineStr">
        <is>
          <t>Z</t>
        </is>
      </c>
      <c r="J81" s="18" t="inlineStr">
        <is>
          <t>AZ</t>
        </is>
      </c>
      <c r="K81" s="20" t="inlineStr">
        <is>
          <t>Dedicated Planner Review | Dynamic Safety Stock | Close Supplier Lead Time Tracking</t>
        </is>
      </c>
    </row>
    <row r="82">
      <c r="B82" s="9" t="inlineStr">
        <is>
          <t>FOODS_1_037</t>
        </is>
      </c>
      <c r="C82" s="10" t="n">
        <v>6485.91</v>
      </c>
      <c r="D82" s="13" t="n">
        <v>0.6426000000000001</v>
      </c>
      <c r="E82" s="18" t="inlineStr">
        <is>
          <t>A</t>
        </is>
      </c>
      <c r="F82" s="12" t="n">
        <v>1.0685</v>
      </c>
      <c r="G82" s="12" t="n">
        <v>1.985</v>
      </c>
      <c r="H82" s="12" t="n">
        <v>1.8577</v>
      </c>
      <c r="I82" s="18" t="inlineStr">
        <is>
          <t>Z</t>
        </is>
      </c>
      <c r="J82" s="18" t="inlineStr">
        <is>
          <t>AZ</t>
        </is>
      </c>
      <c r="K82" s="20" t="inlineStr">
        <is>
          <t>Dedicated Planner Review | Dynamic Safety Stock | Close Supplier Lead Time Tracking</t>
        </is>
      </c>
    </row>
    <row r="83">
      <c r="B83" s="9" t="inlineStr">
        <is>
          <t>FOODS_1_047</t>
        </is>
      </c>
      <c r="C83" s="10" t="n">
        <v>6422.44</v>
      </c>
      <c r="D83" s="13" t="n">
        <v>0.6475</v>
      </c>
      <c r="E83" s="18" t="inlineStr">
        <is>
          <t>A</t>
        </is>
      </c>
      <c r="F83" s="12" t="n">
        <v>1.012</v>
      </c>
      <c r="G83" s="12" t="n">
        <v>1.4552</v>
      </c>
      <c r="H83" s="12" t="n">
        <v>1.4379</v>
      </c>
      <c r="I83" s="18" t="inlineStr">
        <is>
          <t>Z</t>
        </is>
      </c>
      <c r="J83" s="18" t="inlineStr">
        <is>
          <t>AZ</t>
        </is>
      </c>
      <c r="K83" s="20" t="inlineStr">
        <is>
          <t>Dedicated Planner Review | Dynamic Safety Stock | Close Supplier Lead Time Tracking</t>
        </is>
      </c>
    </row>
    <row r="84">
      <c r="B84" s="9" t="inlineStr">
        <is>
          <t>FOODS_1_006</t>
        </is>
      </c>
      <c r="C84" s="10" t="n">
        <v>6306.99</v>
      </c>
      <c r="D84" s="13" t="n">
        <v>0.6524</v>
      </c>
      <c r="E84" s="18" t="inlineStr">
        <is>
          <t>A</t>
        </is>
      </c>
      <c r="F84" s="12" t="n">
        <v>1.5024</v>
      </c>
      <c r="G84" s="12" t="n">
        <v>1.8692</v>
      </c>
      <c r="H84" s="12" t="n">
        <v>1.2441</v>
      </c>
      <c r="I84" s="18" t="inlineStr">
        <is>
          <t>Z</t>
        </is>
      </c>
      <c r="J84" s="18" t="inlineStr">
        <is>
          <t>AZ</t>
        </is>
      </c>
      <c r="K84" s="20" t="inlineStr">
        <is>
          <t>Dedicated Planner Review | Dynamic Safety Stock | Close Supplier Lead Time Tracking</t>
        </is>
      </c>
    </row>
    <row r="85">
      <c r="B85" s="9" t="inlineStr">
        <is>
          <t>FOODS_1_120</t>
        </is>
      </c>
      <c r="C85" s="10" t="n">
        <v>5906.84</v>
      </c>
      <c r="D85" s="13" t="n">
        <v>0.6568999999999999</v>
      </c>
      <c r="E85" s="18" t="inlineStr">
        <is>
          <t>A</t>
        </is>
      </c>
      <c r="F85" s="12" t="n">
        <v>1.6968</v>
      </c>
      <c r="G85" s="12" t="n">
        <v>2.1809</v>
      </c>
      <c r="H85" s="12" t="n">
        <v>1.2853</v>
      </c>
      <c r="I85" s="18" t="inlineStr">
        <is>
          <t>Z</t>
        </is>
      </c>
      <c r="J85" s="18" t="inlineStr">
        <is>
          <t>AZ</t>
        </is>
      </c>
      <c r="K85" s="20" t="inlineStr">
        <is>
          <t>Dedicated Planner Review | Dynamic Safety Stock | Close Supplier Lead Time Tracking</t>
        </is>
      </c>
    </row>
    <row r="86">
      <c r="B86" s="9" t="inlineStr">
        <is>
          <t>FOODS_1_050</t>
        </is>
      </c>
      <c r="C86" s="10" t="n">
        <v>5896.28</v>
      </c>
      <c r="D86" s="13" t="n">
        <v>0.6614</v>
      </c>
      <c r="E86" s="18" t="inlineStr">
        <is>
          <t>A</t>
        </is>
      </c>
      <c r="F86" s="12" t="n">
        <v>0.5154</v>
      </c>
      <c r="G86" s="12" t="n">
        <v>0.9958</v>
      </c>
      <c r="H86" s="12" t="n">
        <v>1.9321</v>
      </c>
      <c r="I86" s="18" t="inlineStr">
        <is>
          <t>Z</t>
        </is>
      </c>
      <c r="J86" s="18" t="inlineStr">
        <is>
          <t>AZ</t>
        </is>
      </c>
      <c r="K86" s="20" t="inlineStr">
        <is>
          <t>Dedicated Planner Review | Dynamic Safety Stock | Close Supplier Lead Time Tracking</t>
        </is>
      </c>
    </row>
    <row r="87">
      <c r="B87" s="9" t="inlineStr">
        <is>
          <t>FOODS_1_075</t>
        </is>
      </c>
      <c r="C87" s="10" t="n">
        <v>5847.28</v>
      </c>
      <c r="D87" s="13" t="n">
        <v>0.6659</v>
      </c>
      <c r="E87" s="18" t="inlineStr">
        <is>
          <t>A</t>
        </is>
      </c>
      <c r="F87" s="12" t="n">
        <v>0.9174</v>
      </c>
      <c r="G87" s="12" t="n">
        <v>1.5109</v>
      </c>
      <c r="H87" s="12" t="n">
        <v>1.6469</v>
      </c>
      <c r="I87" s="18" t="inlineStr">
        <is>
          <t>Z</t>
        </is>
      </c>
      <c r="J87" s="18" t="inlineStr">
        <is>
          <t>AZ</t>
        </is>
      </c>
      <c r="K87" s="20" t="inlineStr">
        <is>
          <t>Dedicated Planner Review | Dynamic Safety Stock | Close Supplier Lead Time Tracking</t>
        </is>
      </c>
    </row>
    <row r="88">
      <c r="B88" s="9" t="inlineStr">
        <is>
          <t>FOODS_1_130</t>
        </is>
      </c>
      <c r="C88" s="10" t="n">
        <v>5771.16</v>
      </c>
      <c r="D88" s="13" t="n">
        <v>0.6704000000000001</v>
      </c>
      <c r="E88" s="18" t="inlineStr">
        <is>
          <t>A</t>
        </is>
      </c>
      <c r="F88" s="12" t="n">
        <v>1.7088</v>
      </c>
      <c r="G88" s="12" t="n">
        <v>1.8496</v>
      </c>
      <c r="H88" s="12" t="n">
        <v>1.0824</v>
      </c>
      <c r="I88" s="18" t="inlineStr">
        <is>
          <t>Z</t>
        </is>
      </c>
      <c r="J88" s="18" t="inlineStr">
        <is>
          <t>AZ</t>
        </is>
      </c>
      <c r="K88" s="20" t="inlineStr">
        <is>
          <t>Dedicated Planner Review | Dynamic Safety Stock | Close Supplier Lead Time Tracking</t>
        </is>
      </c>
    </row>
    <row r="89">
      <c r="B89" s="9" t="inlineStr">
        <is>
          <t>FOODS_1_127</t>
        </is>
      </c>
      <c r="C89" s="10" t="n">
        <v>5704.82</v>
      </c>
      <c r="D89" s="13" t="n">
        <v>0.6747</v>
      </c>
      <c r="E89" s="18" t="inlineStr">
        <is>
          <t>A</t>
        </is>
      </c>
      <c r="F89" s="12" t="n">
        <v>1.5091</v>
      </c>
      <c r="G89" s="12" t="n">
        <v>1.8301</v>
      </c>
      <c r="H89" s="12" t="n">
        <v>1.2127</v>
      </c>
      <c r="I89" s="18" t="inlineStr">
        <is>
          <t>Z</t>
        </is>
      </c>
      <c r="J89" s="18" t="inlineStr">
        <is>
          <t>AZ</t>
        </is>
      </c>
      <c r="K89" s="20" t="inlineStr">
        <is>
          <t>Dedicated Planner Review | Dynamic Safety Stock | Close Supplier Lead Time Tracking</t>
        </is>
      </c>
    </row>
    <row r="90">
      <c r="B90" s="9" t="inlineStr">
        <is>
          <t>FOODS_1_114</t>
        </is>
      </c>
      <c r="C90" s="10" t="n">
        <v>5628.76</v>
      </c>
      <c r="D90" s="13" t="n">
        <v>0.679</v>
      </c>
      <c r="E90" s="18" t="inlineStr">
        <is>
          <t>A</t>
        </is>
      </c>
      <c r="F90" s="12" t="n">
        <v>0.8798</v>
      </c>
      <c r="G90" s="12" t="n">
        <v>1.2844</v>
      </c>
      <c r="H90" s="12" t="n">
        <v>1.4599</v>
      </c>
      <c r="I90" s="18" t="inlineStr">
        <is>
          <t>Z</t>
        </is>
      </c>
      <c r="J90" s="18" t="inlineStr">
        <is>
          <t>AZ</t>
        </is>
      </c>
      <c r="K90" s="20" t="inlineStr">
        <is>
          <t>Dedicated Planner Review | Dynamic Safety Stock | Close Supplier Lead Time Tracking</t>
        </is>
      </c>
    </row>
    <row r="91">
      <c r="B91" s="9" t="inlineStr">
        <is>
          <t>FOODS_1_090</t>
        </is>
      </c>
      <c r="C91" s="10" t="n">
        <v>5602.06</v>
      </c>
      <c r="D91" s="13" t="n">
        <v>0.6833</v>
      </c>
      <c r="E91" s="18" t="inlineStr">
        <is>
          <t>A</t>
        </is>
      </c>
      <c r="F91" s="12" t="n">
        <v>0.8798</v>
      </c>
      <c r="G91" s="12" t="n">
        <v>1.7441</v>
      </c>
      <c r="H91" s="12" t="n">
        <v>1.9824</v>
      </c>
      <c r="I91" s="18" t="inlineStr">
        <is>
          <t>Z</t>
        </is>
      </c>
      <c r="J91" s="18" t="inlineStr">
        <is>
          <t>AZ</t>
        </is>
      </c>
      <c r="K91" s="20" t="inlineStr">
        <is>
          <t>Dedicated Planner Review | Dynamic Safety Stock | Close Supplier Lead Time Tracking</t>
        </is>
      </c>
    </row>
    <row r="92">
      <c r="B92" s="9" t="inlineStr">
        <is>
          <t>FOODS_1_200</t>
        </is>
      </c>
      <c r="C92" s="10" t="n">
        <v>5532.1</v>
      </c>
      <c r="D92" s="13" t="n">
        <v>0.6876000000000001</v>
      </c>
      <c r="E92" s="18" t="inlineStr">
        <is>
          <t>A</t>
        </is>
      </c>
      <c r="F92" s="12" t="n">
        <v>2.9509</v>
      </c>
      <c r="G92" s="12" t="n">
        <v>5.6803</v>
      </c>
      <c r="H92" s="12" t="n">
        <v>1.9249</v>
      </c>
      <c r="I92" s="18" t="inlineStr">
        <is>
          <t>Z</t>
        </is>
      </c>
      <c r="J92" s="18" t="inlineStr">
        <is>
          <t>AZ</t>
        </is>
      </c>
      <c r="K92" s="20" t="inlineStr">
        <is>
          <t>Dedicated Planner Review | Dynamic Safety Stock | Close Supplier Lead Time Tracking</t>
        </is>
      </c>
    </row>
    <row r="93">
      <c r="B93" s="9" t="inlineStr">
        <is>
          <t>FOODS_1_083</t>
        </is>
      </c>
      <c r="C93" s="10" t="n">
        <v>5520.77</v>
      </c>
      <c r="D93" s="13" t="n">
        <v>0.6918000000000001</v>
      </c>
      <c r="E93" s="18" t="inlineStr">
        <is>
          <t>A</t>
        </is>
      </c>
      <c r="F93" s="12" t="n">
        <v>1.4558</v>
      </c>
      <c r="G93" s="12" t="n">
        <v>2.0045</v>
      </c>
      <c r="H93" s="12" t="n">
        <v>1.3769</v>
      </c>
      <c r="I93" s="18" t="inlineStr">
        <is>
          <t>Z</t>
        </is>
      </c>
      <c r="J93" s="18" t="inlineStr">
        <is>
          <t>AZ</t>
        </is>
      </c>
      <c r="K93" s="20" t="inlineStr">
        <is>
          <t>Dedicated Planner Review | Dynamic Safety Stock | Close Supplier Lead Time Tracking</t>
        </is>
      </c>
    </row>
    <row r="94">
      <c r="B94" s="9" t="inlineStr">
        <is>
          <t>FOODS_1_136</t>
        </is>
      </c>
      <c r="C94" s="10" t="n">
        <v>5445.41</v>
      </c>
      <c r="D94" s="13" t="n">
        <v>0.696</v>
      </c>
      <c r="E94" s="18" t="inlineStr">
        <is>
          <t>A</t>
        </is>
      </c>
      <c r="F94" s="12" t="n">
        <v>0.6173999999999999</v>
      </c>
      <c r="G94" s="12" t="n">
        <v>1.1278</v>
      </c>
      <c r="H94" s="12" t="n">
        <v>1.8267</v>
      </c>
      <c r="I94" s="18" t="inlineStr">
        <is>
          <t>Z</t>
        </is>
      </c>
      <c r="J94" s="18" t="inlineStr">
        <is>
          <t>AZ</t>
        </is>
      </c>
      <c r="K94" s="20" t="inlineStr">
        <is>
          <t>Dedicated Planner Review | Dynamic Safety Stock | Close Supplier Lead Time Tracking</t>
        </is>
      </c>
    </row>
    <row r="95">
      <c r="B95" s="9" t="inlineStr">
        <is>
          <t>FOODS_1_020</t>
        </is>
      </c>
      <c r="C95" s="10" t="n">
        <v>5400.48</v>
      </c>
      <c r="D95" s="13" t="n">
        <v>0.7001000000000001</v>
      </c>
      <c r="E95" s="18" t="inlineStr">
        <is>
          <t>A</t>
        </is>
      </c>
      <c r="F95" s="12" t="n">
        <v>1.0601</v>
      </c>
      <c r="G95" s="12" t="n">
        <v>1.2484</v>
      </c>
      <c r="H95" s="12" t="n">
        <v>1.1776</v>
      </c>
      <c r="I95" s="18" t="inlineStr">
        <is>
          <t>Z</t>
        </is>
      </c>
      <c r="J95" s="18" t="inlineStr">
        <is>
          <t>AZ</t>
        </is>
      </c>
      <c r="K95" s="20" t="inlineStr">
        <is>
          <t>Dedicated Planner Review | Dynamic Safety Stock | Close Supplier Lead Time Tracking</t>
        </is>
      </c>
    </row>
    <row r="96">
      <c r="B96" s="9" t="inlineStr">
        <is>
          <t>FOODS_1_027</t>
        </is>
      </c>
      <c r="C96" s="10" t="n">
        <v>5393.04</v>
      </c>
      <c r="D96" s="13" t="n">
        <v>0.7043</v>
      </c>
      <c r="E96" s="18" t="inlineStr">
        <is>
          <t>A</t>
        </is>
      </c>
      <c r="F96" s="12" t="n">
        <v>1.5463</v>
      </c>
      <c r="G96" s="12" t="n">
        <v>2.997</v>
      </c>
      <c r="H96" s="12" t="n">
        <v>1.9382</v>
      </c>
      <c r="I96" s="18" t="inlineStr">
        <is>
          <t>Z</t>
        </is>
      </c>
      <c r="J96" s="18" t="inlineStr">
        <is>
          <t>AZ</t>
        </is>
      </c>
      <c r="K96" s="20" t="inlineStr">
        <is>
          <t>Dedicated Planner Review | Dynamic Safety Stock | Close Supplier Lead Time Tracking</t>
        </is>
      </c>
    </row>
    <row r="97">
      <c r="B97" s="9" t="inlineStr">
        <is>
          <t>FOODS_1_123</t>
        </is>
      </c>
      <c r="C97" s="10" t="n">
        <v>5385.12</v>
      </c>
      <c r="D97" s="13" t="n">
        <v>0.7084</v>
      </c>
      <c r="E97" s="18" t="inlineStr">
        <is>
          <t>A</t>
        </is>
      </c>
      <c r="F97" s="12" t="n">
        <v>0.8479</v>
      </c>
      <c r="G97" s="12" t="n">
        <v>1.5656</v>
      </c>
      <c r="H97" s="12" t="n">
        <v>1.8464</v>
      </c>
      <c r="I97" s="18" t="inlineStr">
        <is>
          <t>Z</t>
        </is>
      </c>
      <c r="J97" s="18" t="inlineStr">
        <is>
          <t>AZ</t>
        </is>
      </c>
      <c r="K97" s="20" t="inlineStr">
        <is>
          <t>Dedicated Planner Review | Dynamic Safety Stock | Close Supplier Lead Time Tracking</t>
        </is>
      </c>
    </row>
    <row r="98">
      <c r="B98" s="9" t="inlineStr">
        <is>
          <t>FOODS_1_113</t>
        </is>
      </c>
      <c r="C98" s="10" t="n">
        <v>5338.06</v>
      </c>
      <c r="D98" s="13" t="n">
        <v>0.7125</v>
      </c>
      <c r="E98" s="18" t="inlineStr">
        <is>
          <t>A</t>
        </is>
      </c>
      <c r="F98" s="12" t="n">
        <v>2.8474</v>
      </c>
      <c r="G98" s="12" t="n">
        <v>4.5943</v>
      </c>
      <c r="H98" s="12" t="n">
        <v>1.6135</v>
      </c>
      <c r="I98" s="18" t="inlineStr">
        <is>
          <t>Z</t>
        </is>
      </c>
      <c r="J98" s="18" t="inlineStr">
        <is>
          <t>AZ</t>
        </is>
      </c>
      <c r="K98" s="20" t="inlineStr">
        <is>
          <t>Dedicated Planner Review | Dynamic Safety Stock | Close Supplier Lead Time Tracking</t>
        </is>
      </c>
    </row>
    <row r="99">
      <c r="B99" s="9" t="inlineStr">
        <is>
          <t>FOODS_1_094</t>
        </is>
      </c>
      <c r="C99" s="10" t="n">
        <v>5160.52</v>
      </c>
      <c r="D99" s="13" t="n">
        <v>0.7165</v>
      </c>
      <c r="E99" s="18" t="inlineStr">
        <is>
          <t>A</t>
        </is>
      </c>
      <c r="F99" s="12" t="n">
        <v>0.8159999999999999</v>
      </c>
      <c r="G99" s="12" t="n">
        <v>1.2769</v>
      </c>
      <c r="H99" s="12" t="n">
        <v>1.5648</v>
      </c>
      <c r="I99" s="18" t="inlineStr">
        <is>
          <t>Z</t>
        </is>
      </c>
      <c r="J99" s="18" t="inlineStr">
        <is>
          <t>AZ</t>
        </is>
      </c>
      <c r="K99" s="20" t="inlineStr">
        <is>
          <t>Dedicated Planner Review | Dynamic Safety Stock | Close Supplier Lead Time Tracking</t>
        </is>
      </c>
    </row>
    <row r="100">
      <c r="B100" s="9" t="inlineStr">
        <is>
          <t>FOODS_1_128</t>
        </is>
      </c>
      <c r="C100" s="10" t="n">
        <v>5140.76</v>
      </c>
      <c r="D100" s="13" t="n">
        <v>0.7204</v>
      </c>
      <c r="E100" s="18" t="inlineStr">
        <is>
          <t>A</t>
        </is>
      </c>
      <c r="F100" s="12" t="n">
        <v>0.702</v>
      </c>
      <c r="G100" s="12" t="n">
        <v>1.2438</v>
      </c>
      <c r="H100" s="12" t="n">
        <v>1.7718</v>
      </c>
      <c r="I100" s="18" t="inlineStr">
        <is>
          <t>Z</t>
        </is>
      </c>
      <c r="J100" s="18" t="inlineStr">
        <is>
          <t>AZ</t>
        </is>
      </c>
      <c r="K100" s="20" t="inlineStr">
        <is>
          <t>Dedicated Planner Review | Dynamic Safety Stock | Close Supplier Lead Time Tracking</t>
        </is>
      </c>
    </row>
    <row r="101">
      <c r="B101" s="9" t="inlineStr">
        <is>
          <t>FOODS_1_133</t>
        </is>
      </c>
      <c r="C101" s="10" t="n">
        <v>4903.88</v>
      </c>
      <c r="D101" s="13" t="n">
        <v>0.7242000000000001</v>
      </c>
      <c r="E101" s="18" t="inlineStr">
        <is>
          <t>A</t>
        </is>
      </c>
      <c r="F101" s="12" t="n">
        <v>0.8589</v>
      </c>
      <c r="G101" s="12" t="n">
        <v>1.8355</v>
      </c>
      <c r="H101" s="12" t="n">
        <v>2.137</v>
      </c>
      <c r="I101" s="18" t="inlineStr">
        <is>
          <t>Z</t>
        </is>
      </c>
      <c r="J101" s="18" t="inlineStr">
        <is>
          <t>AZ</t>
        </is>
      </c>
      <c r="K101" s="20" t="inlineStr">
        <is>
          <t>Dedicated Planner Review | Dynamic Safety Stock | Close Supplier Lead Time Tracking</t>
        </is>
      </c>
    </row>
    <row r="102">
      <c r="B102" s="9" t="inlineStr">
        <is>
          <t>FOODS_1_181</t>
        </is>
      </c>
      <c r="C102" s="10" t="n">
        <v>4877.38</v>
      </c>
      <c r="D102" s="13" t="n">
        <v>0.7279000000000001</v>
      </c>
      <c r="E102" s="18" t="inlineStr">
        <is>
          <t>A</t>
        </is>
      </c>
      <c r="F102" s="12" t="n">
        <v>1.9294</v>
      </c>
      <c r="G102" s="12" t="n">
        <v>2.5451</v>
      </c>
      <c r="H102" s="12" t="n">
        <v>1.3191</v>
      </c>
      <c r="I102" s="18" t="inlineStr">
        <is>
          <t>Z</t>
        </is>
      </c>
      <c r="J102" s="18" t="inlineStr">
        <is>
          <t>AZ</t>
        </is>
      </c>
      <c r="K102" s="20" t="inlineStr">
        <is>
          <t>Dedicated Planner Review | Dynamic Safety Stock | Close Supplier Lead Time Tracking</t>
        </is>
      </c>
    </row>
    <row r="103">
      <c r="B103" s="9" t="inlineStr">
        <is>
          <t>FOODS_1_186</t>
        </is>
      </c>
      <c r="C103" s="10" t="n">
        <v>4867.72</v>
      </c>
      <c r="D103" s="13" t="n">
        <v>0.7317</v>
      </c>
      <c r="E103" s="18" t="inlineStr">
        <is>
          <t>A</t>
        </is>
      </c>
      <c r="F103" s="12" t="n">
        <v>0.4255</v>
      </c>
      <c r="G103" s="12" t="n">
        <v>0.7741</v>
      </c>
      <c r="H103" s="12" t="n">
        <v>1.8193</v>
      </c>
      <c r="I103" s="18" t="inlineStr">
        <is>
          <t>Z</t>
        </is>
      </c>
      <c r="J103" s="18" t="inlineStr">
        <is>
          <t>AZ</t>
        </is>
      </c>
      <c r="K103" s="20" t="inlineStr">
        <is>
          <t>Dedicated Planner Review | Dynamic Safety Stock | Close Supplier Lead Time Tracking</t>
        </is>
      </c>
    </row>
    <row r="104">
      <c r="B104" s="9" t="inlineStr">
        <is>
          <t>FOODS_1_016</t>
        </is>
      </c>
      <c r="C104" s="10" t="n">
        <v>4855.72</v>
      </c>
      <c r="D104" s="13" t="n">
        <v>0.7354000000000001</v>
      </c>
      <c r="E104" s="18" t="inlineStr">
        <is>
          <t>A</t>
        </is>
      </c>
      <c r="F104" s="12" t="n">
        <v>1.2446</v>
      </c>
      <c r="G104" s="12" t="n">
        <v>1.608</v>
      </c>
      <c r="H104" s="12" t="n">
        <v>1.292</v>
      </c>
      <c r="I104" s="18" t="inlineStr">
        <is>
          <t>Z</t>
        </is>
      </c>
      <c r="J104" s="18" t="inlineStr">
        <is>
          <t>AZ</t>
        </is>
      </c>
      <c r="K104" s="20" t="inlineStr">
        <is>
          <t>Dedicated Planner Review | Dynamic Safety Stock | Close Supplier Lead Time Tracking</t>
        </is>
      </c>
    </row>
    <row r="105">
      <c r="B105" s="9" t="inlineStr">
        <is>
          <t>FOODS_1_208</t>
        </is>
      </c>
      <c r="C105" s="10" t="n">
        <v>4845.88</v>
      </c>
      <c r="D105" s="13" t="n">
        <v>0.7391</v>
      </c>
      <c r="E105" s="18" t="inlineStr">
        <is>
          <t>A</t>
        </is>
      </c>
      <c r="F105" s="12" t="n">
        <v>1.3806</v>
      </c>
      <c r="G105" s="12" t="n">
        <v>1.8648</v>
      </c>
      <c r="H105" s="12" t="n">
        <v>1.3507</v>
      </c>
      <c r="I105" s="18" t="inlineStr">
        <is>
          <t>Z</t>
        </is>
      </c>
      <c r="J105" s="18" t="inlineStr">
        <is>
          <t>AZ</t>
        </is>
      </c>
      <c r="K105" s="20" t="inlineStr">
        <is>
          <t>Dedicated Planner Review | Dynamic Safety Stock | Close Supplier Lead Time Tracking</t>
        </is>
      </c>
    </row>
    <row r="106">
      <c r="B106" s="9" t="inlineStr">
        <is>
          <t>FOODS_1_115</t>
        </is>
      </c>
      <c r="C106" s="10" t="n">
        <v>4840.16</v>
      </c>
      <c r="D106" s="13" t="n">
        <v>0.7428</v>
      </c>
      <c r="E106" s="18" t="inlineStr">
        <is>
          <t>A</t>
        </is>
      </c>
      <c r="F106" s="12" t="n">
        <v>0.7067</v>
      </c>
      <c r="G106" s="12" t="n">
        <v>1.4515</v>
      </c>
      <c r="H106" s="12" t="n">
        <v>2.0539</v>
      </c>
      <c r="I106" s="18" t="inlineStr">
        <is>
          <t>Z</t>
        </is>
      </c>
      <c r="J106" s="18" t="inlineStr">
        <is>
          <t>AZ</t>
        </is>
      </c>
      <c r="K106" s="20" t="inlineStr">
        <is>
          <t>Dedicated Planner Review | Dynamic Safety Stock | Close Supplier Lead Time Tracking</t>
        </is>
      </c>
    </row>
    <row r="107">
      <c r="B107" s="9" t="inlineStr">
        <is>
          <t>FOODS_1_003</t>
        </is>
      </c>
      <c r="C107" s="10" t="n">
        <v>4707.11</v>
      </c>
      <c r="D107" s="13" t="n">
        <v>0.7464</v>
      </c>
      <c r="E107" s="18" t="inlineStr">
        <is>
          <t>A</t>
        </is>
      </c>
      <c r="F107" s="12" t="n">
        <v>0.8322000000000001</v>
      </c>
      <c r="G107" s="12" t="n">
        <v>1.1632</v>
      </c>
      <c r="H107" s="12" t="n">
        <v>1.3977</v>
      </c>
      <c r="I107" s="18" t="inlineStr">
        <is>
          <t>Z</t>
        </is>
      </c>
      <c r="J107" s="18" t="inlineStr">
        <is>
          <t>AZ</t>
        </is>
      </c>
      <c r="K107" s="20" t="inlineStr">
        <is>
          <t>Dedicated Planner Review | Dynamic Safety Stock | Close Supplier Lead Time Tracking</t>
        </is>
      </c>
    </row>
    <row r="108">
      <c r="B108" s="9" t="inlineStr">
        <is>
          <t>FOODS_1_129</t>
        </is>
      </c>
      <c r="C108" s="10" t="n">
        <v>4642.48</v>
      </c>
      <c r="D108" s="13" t="n">
        <v>0.75</v>
      </c>
      <c r="E108" s="18" t="inlineStr">
        <is>
          <t>A</t>
        </is>
      </c>
      <c r="F108" s="12" t="n">
        <v>0.4119</v>
      </c>
      <c r="G108" s="12" t="n">
        <v>0.8671</v>
      </c>
      <c r="H108" s="12" t="n">
        <v>2.1051</v>
      </c>
      <c r="I108" s="18" t="inlineStr">
        <is>
          <t>Z</t>
        </is>
      </c>
      <c r="J108" s="18" t="inlineStr">
        <is>
          <t>AZ</t>
        </is>
      </c>
      <c r="K108" s="20" t="inlineStr">
        <is>
          <t>Dedicated Planner Review | Dynamic Safety Stock | Close Supplier Lead Time Tracking</t>
        </is>
      </c>
    </row>
    <row r="109">
      <c r="B109" s="9" t="inlineStr">
        <is>
          <t>FOODS_1_196</t>
        </is>
      </c>
      <c r="C109" s="10" t="n">
        <v>4588.01</v>
      </c>
      <c r="D109" s="13" t="n">
        <v>0.7534999999999999</v>
      </c>
      <c r="E109" s="18" t="inlineStr">
        <is>
          <t>A</t>
        </is>
      </c>
      <c r="F109" s="12" t="n">
        <v>1.2112</v>
      </c>
      <c r="G109" s="12" t="n">
        <v>1.7142</v>
      </c>
      <c r="H109" s="12" t="n">
        <v>1.4153</v>
      </c>
      <c r="I109" s="18" t="inlineStr">
        <is>
          <t>Z</t>
        </is>
      </c>
      <c r="J109" s="18" t="inlineStr">
        <is>
          <t>AZ</t>
        </is>
      </c>
      <c r="K109" s="20" t="inlineStr">
        <is>
          <t>Dedicated Planner Review | Dynamic Safety Stock | Close Supplier Lead Time Tracking</t>
        </is>
      </c>
    </row>
    <row r="110">
      <c r="B110" s="9" t="inlineStr">
        <is>
          <t>FOODS_1_214</t>
        </is>
      </c>
      <c r="C110" s="10" t="n">
        <v>4505.86</v>
      </c>
      <c r="D110" s="13" t="n">
        <v>0.757</v>
      </c>
      <c r="E110" s="18" t="inlineStr">
        <is>
          <t>A</t>
        </is>
      </c>
      <c r="F110" s="12" t="n">
        <v>0.7967</v>
      </c>
      <c r="G110" s="12" t="n">
        <v>1.0697</v>
      </c>
      <c r="H110" s="12" t="n">
        <v>1.3427</v>
      </c>
      <c r="I110" s="18" t="inlineStr">
        <is>
          <t>Z</t>
        </is>
      </c>
      <c r="J110" s="18" t="inlineStr">
        <is>
          <t>AZ</t>
        </is>
      </c>
      <c r="K110" s="20" t="inlineStr">
        <is>
          <t>Dedicated Planner Review | Dynamic Safety Stock | Close Supplier Lead Time Tracking</t>
        </is>
      </c>
    </row>
    <row r="111">
      <c r="B111" s="9" t="inlineStr">
        <is>
          <t>FOODS_1_185</t>
        </is>
      </c>
      <c r="C111" s="10" t="n">
        <v>4465.28</v>
      </c>
      <c r="D111" s="13" t="n">
        <v>0.7604000000000001</v>
      </c>
      <c r="E111" s="18" t="inlineStr">
        <is>
          <t>A</t>
        </is>
      </c>
      <c r="F111" s="12" t="n">
        <v>1.0753</v>
      </c>
      <c r="G111" s="12" t="n">
        <v>1.4251</v>
      </c>
      <c r="H111" s="12" t="n">
        <v>1.3253</v>
      </c>
      <c r="I111" s="18" t="inlineStr">
        <is>
          <t>Z</t>
        </is>
      </c>
      <c r="J111" s="18" t="inlineStr">
        <is>
          <t>AZ</t>
        </is>
      </c>
      <c r="K111" s="20" t="inlineStr">
        <is>
          <t>Dedicated Planner Review | Dynamic Safety Stock | Close Supplier Lead Time Tracking</t>
        </is>
      </c>
    </row>
    <row r="112">
      <c r="B112" s="9" t="inlineStr">
        <is>
          <t>FOODS_1_199</t>
        </is>
      </c>
      <c r="C112" s="10" t="n">
        <v>4446.21</v>
      </c>
      <c r="D112" s="13" t="n">
        <v>0.7637999999999999</v>
      </c>
      <c r="E112" s="18" t="inlineStr">
        <is>
          <t>A</t>
        </is>
      </c>
      <c r="F112" s="12" t="n">
        <v>0.4339</v>
      </c>
      <c r="G112" s="12" t="n">
        <v>0.9942</v>
      </c>
      <c r="H112" s="12" t="n">
        <v>2.2913</v>
      </c>
      <c r="I112" s="18" t="inlineStr">
        <is>
          <t>Z</t>
        </is>
      </c>
      <c r="J112" s="18" t="inlineStr">
        <is>
          <t>AZ</t>
        </is>
      </c>
      <c r="K112" s="20" t="inlineStr">
        <is>
          <t>Dedicated Planner Review | Dynamic Safety Stock | Close Supplier Lead Time Tracking</t>
        </is>
      </c>
    </row>
    <row r="113">
      <c r="B113" s="9" t="inlineStr">
        <is>
          <t>FOODS_1_073</t>
        </is>
      </c>
      <c r="C113" s="10" t="n">
        <v>4433.44</v>
      </c>
      <c r="D113" s="13" t="n">
        <v>0.7672</v>
      </c>
      <c r="E113" s="18" t="inlineStr">
        <is>
          <t>A</t>
        </is>
      </c>
      <c r="F113" s="12" t="n">
        <v>1.1735</v>
      </c>
      <c r="G113" s="12" t="n">
        <v>1.4601</v>
      </c>
      <c r="H113" s="12" t="n">
        <v>1.2442</v>
      </c>
      <c r="I113" s="18" t="inlineStr">
        <is>
          <t>Z</t>
        </is>
      </c>
      <c r="J113" s="18" t="inlineStr">
        <is>
          <t>AZ</t>
        </is>
      </c>
      <c r="K113" s="20" t="inlineStr">
        <is>
          <t>Dedicated Planner Review | Dynamic Safety Stock | Close Supplier Lead Time Tracking</t>
        </is>
      </c>
    </row>
    <row r="114">
      <c r="B114" s="9" t="inlineStr">
        <is>
          <t>FOODS_1_184</t>
        </is>
      </c>
      <c r="C114" s="10" t="n">
        <v>4421</v>
      </c>
      <c r="D114" s="13" t="n">
        <v>0.7706000000000001</v>
      </c>
      <c r="E114" s="18" t="inlineStr">
        <is>
          <t>A</t>
        </is>
      </c>
      <c r="F114" s="12" t="n">
        <v>2.311</v>
      </c>
      <c r="G114" s="12" t="n">
        <v>3.2209</v>
      </c>
      <c r="H114" s="12" t="n">
        <v>1.3937</v>
      </c>
      <c r="I114" s="18" t="inlineStr">
        <is>
          <t>Z</t>
        </is>
      </c>
      <c r="J114" s="18" t="inlineStr">
        <is>
          <t>AZ</t>
        </is>
      </c>
      <c r="K114" s="20" t="inlineStr">
        <is>
          <t>Dedicated Planner Review | Dynamic Safety Stock | Close Supplier Lead Time Tracking</t>
        </is>
      </c>
    </row>
    <row r="115">
      <c r="B115" s="9" t="inlineStr">
        <is>
          <t>FOODS_1_062</t>
        </is>
      </c>
      <c r="C115" s="10" t="n">
        <v>4389.2</v>
      </c>
      <c r="D115" s="13" t="n">
        <v>0.774</v>
      </c>
      <c r="E115" s="18" t="inlineStr">
        <is>
          <t>A</t>
        </is>
      </c>
      <c r="F115" s="12" t="n">
        <v>0.5776</v>
      </c>
      <c r="G115" s="12" t="n">
        <v>0.9986</v>
      </c>
      <c r="H115" s="12" t="n">
        <v>1.7289</v>
      </c>
      <c r="I115" s="18" t="inlineStr">
        <is>
          <t>Z</t>
        </is>
      </c>
      <c r="J115" s="18" t="inlineStr">
        <is>
          <t>AZ</t>
        </is>
      </c>
      <c r="K115" s="20" t="inlineStr">
        <is>
          <t>Dedicated Planner Review | Dynamic Safety Stock | Close Supplier Lead Time Tracking</t>
        </is>
      </c>
    </row>
    <row r="116">
      <c r="B116" s="9" t="inlineStr">
        <is>
          <t>FOODS_1_175</t>
        </is>
      </c>
      <c r="C116" s="10" t="n">
        <v>4364.24</v>
      </c>
      <c r="D116" s="13" t="n">
        <v>0.7773</v>
      </c>
      <c r="E116" s="18" t="inlineStr">
        <is>
          <t>A</t>
        </is>
      </c>
      <c r="F116" s="12" t="n">
        <v>0.7674</v>
      </c>
      <c r="G116" s="12" t="n">
        <v>1.2139</v>
      </c>
      <c r="H116" s="12" t="n">
        <v>1.5818</v>
      </c>
      <c r="I116" s="18" t="inlineStr">
        <is>
          <t>Z</t>
        </is>
      </c>
      <c r="J116" s="18" t="inlineStr">
        <is>
          <t>AZ</t>
        </is>
      </c>
      <c r="K116" s="20" t="inlineStr">
        <is>
          <t>Dedicated Planner Review | Dynamic Safety Stock | Close Supplier Lead Time Tracking</t>
        </is>
      </c>
    </row>
    <row r="117">
      <c r="B117" s="9" t="inlineStr">
        <is>
          <t>FOODS_1_141</t>
        </is>
      </c>
      <c r="C117" s="10" t="n">
        <v>4333.68</v>
      </c>
      <c r="D117" s="13" t="n">
        <v>0.7806000000000001</v>
      </c>
      <c r="E117" s="18" t="inlineStr">
        <is>
          <t>A</t>
        </is>
      </c>
      <c r="F117" s="12" t="n">
        <v>0.6806</v>
      </c>
      <c r="G117" s="12" t="n">
        <v>1.043</v>
      </c>
      <c r="H117" s="12" t="n">
        <v>1.5325</v>
      </c>
      <c r="I117" s="18" t="inlineStr">
        <is>
          <t>Z</t>
        </is>
      </c>
      <c r="J117" s="18" t="inlineStr">
        <is>
          <t>AZ</t>
        </is>
      </c>
      <c r="K117" s="20" t="inlineStr">
        <is>
          <t>Dedicated Planner Review | Dynamic Safety Stock | Close Supplier Lead Time Tracking</t>
        </is>
      </c>
    </row>
    <row r="118">
      <c r="B118" s="9" t="inlineStr">
        <is>
          <t>FOODS_1_205</t>
        </is>
      </c>
      <c r="C118" s="10" t="n">
        <v>4330.44</v>
      </c>
      <c r="D118" s="13" t="n">
        <v>0.784</v>
      </c>
      <c r="E118" s="18" t="inlineStr">
        <is>
          <t>A</t>
        </is>
      </c>
      <c r="F118" s="12" t="n">
        <v>0.4626</v>
      </c>
      <c r="G118" s="12" t="n">
        <v>0.8401</v>
      </c>
      <c r="H118" s="12" t="n">
        <v>1.816</v>
      </c>
      <c r="I118" s="18" t="inlineStr">
        <is>
          <t>Z</t>
        </is>
      </c>
      <c r="J118" s="18" t="inlineStr">
        <is>
          <t>AZ</t>
        </is>
      </c>
      <c r="K118" s="20" t="inlineStr">
        <is>
          <t>Dedicated Planner Review | Dynamic Safety Stock | Close Supplier Lead Time Tracking</t>
        </is>
      </c>
    </row>
    <row r="119">
      <c r="B119" s="9" t="inlineStr">
        <is>
          <t>FOODS_1_195</t>
        </is>
      </c>
      <c r="C119" s="10" t="n">
        <v>4295.06</v>
      </c>
      <c r="D119" s="13" t="n">
        <v>0.7872</v>
      </c>
      <c r="E119" s="18" t="inlineStr">
        <is>
          <t>A</t>
        </is>
      </c>
      <c r="F119" s="12" t="n">
        <v>1.0042</v>
      </c>
      <c r="G119" s="12" t="n">
        <v>1.4593</v>
      </c>
      <c r="H119" s="12" t="n">
        <v>1.4532</v>
      </c>
      <c r="I119" s="18" t="inlineStr">
        <is>
          <t>Z</t>
        </is>
      </c>
      <c r="J119" s="18" t="inlineStr">
        <is>
          <t>AZ</t>
        </is>
      </c>
      <c r="K119" s="20" t="inlineStr">
        <is>
          <t>Dedicated Planner Review | Dynamic Safety Stock | Close Supplier Lead Time Tracking</t>
        </is>
      </c>
    </row>
    <row r="120">
      <c r="B120" s="9" t="inlineStr">
        <is>
          <t>FOODS_1_108</t>
        </is>
      </c>
      <c r="C120" s="10" t="n">
        <v>4290</v>
      </c>
      <c r="D120" s="13" t="n">
        <v>0.7905</v>
      </c>
      <c r="E120" s="18" t="inlineStr">
        <is>
          <t>A</t>
        </is>
      </c>
      <c r="F120" s="12" t="n">
        <v>0.897</v>
      </c>
      <c r="G120" s="12" t="n">
        <v>1.3685</v>
      </c>
      <c r="H120" s="12" t="n">
        <v>1.5256</v>
      </c>
      <c r="I120" s="18" t="inlineStr">
        <is>
          <t>Z</t>
        </is>
      </c>
      <c r="J120" s="18" t="inlineStr">
        <is>
          <t>AZ</t>
        </is>
      </c>
      <c r="K120" s="20" t="inlineStr">
        <is>
          <t>Dedicated Planner Review | Dynamic Safety Stock | Close Supplier Lead Time Tracking</t>
        </is>
      </c>
    </row>
    <row r="121">
      <c r="B121" s="9" t="inlineStr">
        <is>
          <t>FOODS_1_082</t>
        </is>
      </c>
      <c r="C121" s="10" t="n">
        <v>4274.76</v>
      </c>
      <c r="D121" s="13" t="n">
        <v>0.7938</v>
      </c>
      <c r="E121" s="18" t="inlineStr">
        <is>
          <t>A</t>
        </is>
      </c>
      <c r="F121" s="12" t="n">
        <v>2.2802</v>
      </c>
      <c r="G121" s="12" t="n">
        <v>4.0794</v>
      </c>
      <c r="H121" s="12" t="n">
        <v>1.7891</v>
      </c>
      <c r="I121" s="18" t="inlineStr">
        <is>
          <t>Z</t>
        </is>
      </c>
      <c r="J121" s="18" t="inlineStr">
        <is>
          <t>AZ</t>
        </is>
      </c>
      <c r="K121" s="20" t="inlineStr">
        <is>
          <t>Dedicated Planner Review | Dynamic Safety Stock | Close Supplier Lead Time Tracking</t>
        </is>
      </c>
    </row>
    <row r="122">
      <c r="B122" s="9" t="inlineStr">
        <is>
          <t>FOODS_1_065</t>
        </is>
      </c>
      <c r="C122" s="10" t="n">
        <v>4158.18</v>
      </c>
      <c r="D122" s="13" t="n">
        <v>0.797</v>
      </c>
      <c r="E122" s="18" t="inlineStr">
        <is>
          <t>A</t>
        </is>
      </c>
      <c r="F122" s="12" t="n">
        <v>0.6534</v>
      </c>
      <c r="G122" s="12" t="n">
        <v>1.1193</v>
      </c>
      <c r="H122" s="12" t="n">
        <v>1.713</v>
      </c>
      <c r="I122" s="18" t="inlineStr">
        <is>
          <t>Z</t>
        </is>
      </c>
      <c r="J122" s="18" t="inlineStr">
        <is>
          <t>AZ</t>
        </is>
      </c>
      <c r="K122" s="20" t="inlineStr">
        <is>
          <t>Dedicated Planner Review | Dynamic Safety Stock | Close Supplier Lead Time Tracking</t>
        </is>
      </c>
    </row>
    <row r="123">
      <c r="B123" s="9" t="inlineStr">
        <is>
          <t>FOODS_1_049</t>
        </is>
      </c>
      <c r="C123" s="10" t="n">
        <v>4153.6</v>
      </c>
      <c r="D123" s="13" t="n">
        <v>0.8001999999999999</v>
      </c>
      <c r="E123" s="18" t="inlineStr">
        <is>
          <t>B</t>
        </is>
      </c>
      <c r="F123" s="12" t="n">
        <v>0.9854000000000001</v>
      </c>
      <c r="G123" s="12" t="n">
        <v>1.7401</v>
      </c>
      <c r="H123" s="12" t="n">
        <v>1.7659</v>
      </c>
      <c r="I123" s="18" t="inlineStr">
        <is>
          <t>Z</t>
        </is>
      </c>
      <c r="J123" s="18" t="inlineStr">
        <is>
          <t>BZ</t>
        </is>
      </c>
      <c r="K123" s="20" t="inlineStr">
        <is>
          <t>Responsive Reorder | Buffer against Demand Spikes | Strict Minimum Order Quantity</t>
        </is>
      </c>
    </row>
    <row r="124">
      <c r="B124" s="9" t="inlineStr">
        <is>
          <t>FOODS_1_151</t>
        </is>
      </c>
      <c r="C124" s="10" t="n">
        <v>4125.44</v>
      </c>
      <c r="D124" s="13" t="n">
        <v>0.8034</v>
      </c>
      <c r="E124" s="18" t="inlineStr">
        <is>
          <t>B</t>
        </is>
      </c>
      <c r="F124" s="12" t="n">
        <v>0.1887</v>
      </c>
      <c r="G124" s="12" t="n">
        <v>0.5377</v>
      </c>
      <c r="H124" s="12" t="n">
        <v>2.8495</v>
      </c>
      <c r="I124" s="18" t="inlineStr">
        <is>
          <t>Z</t>
        </is>
      </c>
      <c r="J124" s="18" t="inlineStr">
        <is>
          <t>BZ</t>
        </is>
      </c>
      <c r="K124" s="20" t="inlineStr">
        <is>
          <t>Responsive Reorder | Buffer against Demand Spikes | Strict Minimum Order Quantity</t>
        </is>
      </c>
    </row>
    <row r="125">
      <c r="B125" s="9" t="inlineStr">
        <is>
          <t>FOODS_1_117</t>
        </is>
      </c>
      <c r="C125" s="10" t="n">
        <v>4124.4</v>
      </c>
      <c r="D125" s="13" t="n">
        <v>0.8065000000000001</v>
      </c>
      <c r="E125" s="18" t="inlineStr">
        <is>
          <t>B</t>
        </is>
      </c>
      <c r="F125" s="12" t="n">
        <v>1.0052</v>
      </c>
      <c r="G125" s="12" t="n">
        <v>1.4395</v>
      </c>
      <c r="H125" s="12" t="n">
        <v>1.4321</v>
      </c>
      <c r="I125" s="18" t="inlineStr">
        <is>
          <t>Z</t>
        </is>
      </c>
      <c r="J125" s="18" t="inlineStr">
        <is>
          <t>BZ</t>
        </is>
      </c>
      <c r="K125" s="20" t="inlineStr">
        <is>
          <t>Responsive Reorder | Buffer against Demand Spikes | Strict Minimum Order Quantity</t>
        </is>
      </c>
    </row>
    <row r="126">
      <c r="B126" s="9" t="inlineStr">
        <is>
          <t>FOODS_1_053</t>
        </is>
      </c>
      <c r="C126" s="10" t="n">
        <v>4079.36</v>
      </c>
      <c r="D126" s="13" t="n">
        <v>0.8097</v>
      </c>
      <c r="E126" s="18" t="inlineStr">
        <is>
          <t>B</t>
        </is>
      </c>
      <c r="F126" s="12" t="n">
        <v>0.3826</v>
      </c>
      <c r="G126" s="12" t="n">
        <v>0.8214</v>
      </c>
      <c r="H126" s="12" t="n">
        <v>2.1469</v>
      </c>
      <c r="I126" s="18" t="inlineStr">
        <is>
          <t>Z</t>
        </is>
      </c>
      <c r="J126" s="18" t="inlineStr">
        <is>
          <t>BZ</t>
        </is>
      </c>
      <c r="K126" s="20" t="inlineStr">
        <is>
          <t>Responsive Reorder | Buffer against Demand Spikes | Strict Minimum Order Quantity</t>
        </is>
      </c>
    </row>
    <row r="127">
      <c r="B127" s="9" t="inlineStr">
        <is>
          <t>FOODS_1_015</t>
        </is>
      </c>
      <c r="C127" s="10" t="n">
        <v>4043.86</v>
      </c>
      <c r="D127" s="13" t="n">
        <v>0.8128</v>
      </c>
      <c r="E127" s="18" t="inlineStr">
        <is>
          <t>B</t>
        </is>
      </c>
      <c r="F127" s="12" t="n">
        <v>0.6806</v>
      </c>
      <c r="G127" s="12" t="n">
        <v>1.4824</v>
      </c>
      <c r="H127" s="12" t="n">
        <v>2.1781</v>
      </c>
      <c r="I127" s="18" t="inlineStr">
        <is>
          <t>Z</t>
        </is>
      </c>
      <c r="J127" s="18" t="inlineStr">
        <is>
          <t>BZ</t>
        </is>
      </c>
      <c r="K127" s="20" t="inlineStr">
        <is>
          <t>Responsive Reorder | Buffer against Demand Spikes | Strict Minimum Order Quantity</t>
        </is>
      </c>
    </row>
    <row r="128">
      <c r="B128" s="9" t="inlineStr">
        <is>
          <t>FOODS_1_041</t>
        </is>
      </c>
      <c r="C128" s="10" t="n">
        <v>4014.98</v>
      </c>
      <c r="D128" s="13" t="n">
        <v>0.8158</v>
      </c>
      <c r="E128" s="18" t="inlineStr">
        <is>
          <t>B</t>
        </is>
      </c>
      <c r="F128" s="12" t="n">
        <v>0.9383</v>
      </c>
      <c r="G128" s="12" t="n">
        <v>1.3585</v>
      </c>
      <c r="H128" s="12" t="n">
        <v>1.4478</v>
      </c>
      <c r="I128" s="18" t="inlineStr">
        <is>
          <t>Z</t>
        </is>
      </c>
      <c r="J128" s="18" t="inlineStr">
        <is>
          <t>BZ</t>
        </is>
      </c>
      <c r="K128" s="20" t="inlineStr">
        <is>
          <t>Responsive Reorder | Buffer against Demand Spikes | Strict Minimum Order Quantity</t>
        </is>
      </c>
    </row>
    <row r="129">
      <c r="B129" s="9" t="inlineStr">
        <is>
          <t>FOODS_1_192</t>
        </is>
      </c>
      <c r="C129" s="10" t="n">
        <v>4007.96</v>
      </c>
      <c r="D129" s="13" t="n">
        <v>0.8189</v>
      </c>
      <c r="E129" s="18" t="inlineStr">
        <is>
          <t>B</t>
        </is>
      </c>
      <c r="F129" s="12" t="n">
        <v>0.8923</v>
      </c>
      <c r="G129" s="12" t="n">
        <v>1.2638</v>
      </c>
      <c r="H129" s="12" t="n">
        <v>1.4163</v>
      </c>
      <c r="I129" s="18" t="inlineStr">
        <is>
          <t>Z</t>
        </is>
      </c>
      <c r="J129" s="18" t="inlineStr">
        <is>
          <t>BZ</t>
        </is>
      </c>
      <c r="K129" s="20" t="inlineStr">
        <is>
          <t>Responsive Reorder | Buffer against Demand Spikes | Strict Minimum Order Quantity</t>
        </is>
      </c>
    </row>
    <row r="130">
      <c r="B130" s="9" t="inlineStr">
        <is>
          <t>FOODS_1_158</t>
        </is>
      </c>
      <c r="C130" s="10" t="n">
        <v>3844.14</v>
      </c>
      <c r="D130" s="13" t="n">
        <v>0.8219</v>
      </c>
      <c r="E130" s="18" t="inlineStr">
        <is>
          <t>B</t>
        </is>
      </c>
      <c r="F130" s="12" t="n">
        <v>0.4297</v>
      </c>
      <c r="G130" s="12" t="n">
        <v>0.769</v>
      </c>
      <c r="H130" s="12" t="n">
        <v>1.7896</v>
      </c>
      <c r="I130" s="18" t="inlineStr">
        <is>
          <t>Z</t>
        </is>
      </c>
      <c r="J130" s="18" t="inlineStr">
        <is>
          <t>BZ</t>
        </is>
      </c>
      <c r="K130" s="20" t="inlineStr">
        <is>
          <t>Responsive Reorder | Buffer against Demand Spikes | Strict Minimum Order Quantity</t>
        </is>
      </c>
    </row>
    <row r="131">
      <c r="B131" s="9" t="inlineStr">
        <is>
          <t>FOODS_1_051</t>
        </is>
      </c>
      <c r="C131" s="10" t="n">
        <v>3819.69</v>
      </c>
      <c r="D131" s="13" t="n">
        <v>0.8248000000000001</v>
      </c>
      <c r="E131" s="18" t="inlineStr">
        <is>
          <t>B</t>
        </is>
      </c>
      <c r="F131" s="12" t="n">
        <v>0.5159</v>
      </c>
      <c r="G131" s="12" t="n">
        <v>1.0962</v>
      </c>
      <c r="H131" s="12" t="n">
        <v>2.1248</v>
      </c>
      <c r="I131" s="18" t="inlineStr">
        <is>
          <t>Z</t>
        </is>
      </c>
      <c r="J131" s="18" t="inlineStr">
        <is>
          <t>BZ</t>
        </is>
      </c>
      <c r="K131" s="20" t="inlineStr">
        <is>
          <t>Responsive Reorder | Buffer against Demand Spikes | Strict Minimum Order Quantity</t>
        </is>
      </c>
    </row>
    <row r="132">
      <c r="B132" s="9" t="inlineStr">
        <is>
          <t>FOODS_1_124</t>
        </is>
      </c>
      <c r="C132" s="10" t="n">
        <v>3818.88</v>
      </c>
      <c r="D132" s="13" t="n">
        <v>0.8277</v>
      </c>
      <c r="E132" s="18" t="inlineStr">
        <is>
          <t>B</t>
        </is>
      </c>
      <c r="F132" s="12" t="n">
        <v>0.9347</v>
      </c>
      <c r="G132" s="12" t="n">
        <v>1.5268</v>
      </c>
      <c r="H132" s="12" t="n">
        <v>1.6335</v>
      </c>
      <c r="I132" s="18" t="inlineStr">
        <is>
          <t>Z</t>
        </is>
      </c>
      <c r="J132" s="18" t="inlineStr">
        <is>
          <t>BZ</t>
        </is>
      </c>
      <c r="K132" s="20" t="inlineStr">
        <is>
          <t>Responsive Reorder | Buffer against Demand Spikes | Strict Minimum Order Quantity</t>
        </is>
      </c>
    </row>
    <row r="133">
      <c r="B133" s="9" t="inlineStr">
        <is>
          <t>FOODS_1_210</t>
        </is>
      </c>
      <c r="C133" s="10" t="n">
        <v>3793.92</v>
      </c>
      <c r="D133" s="13" t="n">
        <v>0.8306</v>
      </c>
      <c r="E133" s="18" t="inlineStr">
        <is>
          <t>B</t>
        </is>
      </c>
      <c r="F133" s="12" t="n">
        <v>1.0821</v>
      </c>
      <c r="G133" s="12" t="n">
        <v>1.8947</v>
      </c>
      <c r="H133" s="12" t="n">
        <v>1.7509</v>
      </c>
      <c r="I133" s="18" t="inlineStr">
        <is>
          <t>Z</t>
        </is>
      </c>
      <c r="J133" s="18" t="inlineStr">
        <is>
          <t>BZ</t>
        </is>
      </c>
      <c r="K133" s="20" t="inlineStr">
        <is>
          <t>Responsive Reorder | Buffer against Demand Spikes | Strict Minimum Order Quantity</t>
        </is>
      </c>
    </row>
    <row r="134">
      <c r="B134" s="9" t="inlineStr">
        <is>
          <t>FOODS_1_013</t>
        </is>
      </c>
      <c r="C134" s="10" t="n">
        <v>3734.39</v>
      </c>
      <c r="D134" s="13" t="n">
        <v>0.8334999999999999</v>
      </c>
      <c r="E134" s="18" t="inlineStr">
        <is>
          <t>B</t>
        </is>
      </c>
      <c r="F134" s="12" t="n">
        <v>1.3314</v>
      </c>
      <c r="G134" s="12" t="n">
        <v>2.0391</v>
      </c>
      <c r="H134" s="12" t="n">
        <v>1.5315</v>
      </c>
      <c r="I134" s="18" t="inlineStr">
        <is>
          <t>Z</t>
        </is>
      </c>
      <c r="J134" s="18" t="inlineStr">
        <is>
          <t>BZ</t>
        </is>
      </c>
      <c r="K134" s="20" t="inlineStr">
        <is>
          <t>Responsive Reorder | Buffer against Demand Spikes | Strict Minimum Order Quantity</t>
        </is>
      </c>
    </row>
    <row r="135">
      <c r="B135" s="9" t="inlineStr">
        <is>
          <t>FOODS_1_069</t>
        </is>
      </c>
      <c r="C135" s="10" t="n">
        <v>3726.88</v>
      </c>
      <c r="D135" s="13" t="n">
        <v>0.8364</v>
      </c>
      <c r="E135" s="18" t="inlineStr">
        <is>
          <t>B</t>
        </is>
      </c>
      <c r="F135" s="12" t="n">
        <v>0.7794</v>
      </c>
      <c r="G135" s="12" t="n">
        <v>1.5803</v>
      </c>
      <c r="H135" s="12" t="n">
        <v>2.0276</v>
      </c>
      <c r="I135" s="18" t="inlineStr">
        <is>
          <t>Z</t>
        </is>
      </c>
      <c r="J135" s="18" t="inlineStr">
        <is>
          <t>BZ</t>
        </is>
      </c>
      <c r="K135" s="20" t="inlineStr">
        <is>
          <t>Responsive Reorder | Buffer against Demand Spikes | Strict Minimum Order Quantity</t>
        </is>
      </c>
    </row>
    <row r="136">
      <c r="B136" s="9" t="inlineStr">
        <is>
          <t>FOODS_1_105</t>
        </is>
      </c>
      <c r="C136" s="10" t="n">
        <v>3709.22</v>
      </c>
      <c r="D136" s="13" t="n">
        <v>0.8392000000000001</v>
      </c>
      <c r="E136" s="18" t="inlineStr">
        <is>
          <t>B</t>
        </is>
      </c>
      <c r="F136" s="12" t="n">
        <v>1.024</v>
      </c>
      <c r="G136" s="12" t="n">
        <v>1.6464</v>
      </c>
      <c r="H136" s="12" t="n">
        <v>1.6078</v>
      </c>
      <c r="I136" s="18" t="inlineStr">
        <is>
          <t>Z</t>
        </is>
      </c>
      <c r="J136" s="18" t="inlineStr">
        <is>
          <t>BZ</t>
        </is>
      </c>
      <c r="K136" s="20" t="inlineStr">
        <is>
          <t>Responsive Reorder | Buffer against Demand Spikes | Strict Minimum Order Quantity</t>
        </is>
      </c>
    </row>
    <row r="137">
      <c r="B137" s="9" t="inlineStr">
        <is>
          <t>FOODS_1_042</t>
        </is>
      </c>
      <c r="C137" s="10" t="n">
        <v>3672.06</v>
      </c>
      <c r="D137" s="13" t="n">
        <v>0.8420000000000001</v>
      </c>
      <c r="E137" s="18" t="inlineStr">
        <is>
          <t>B</t>
        </is>
      </c>
      <c r="F137" s="12" t="n">
        <v>1.9587</v>
      </c>
      <c r="G137" s="12" t="n">
        <v>3.4281</v>
      </c>
      <c r="H137" s="12" t="n">
        <v>1.7502</v>
      </c>
      <c r="I137" s="18" t="inlineStr">
        <is>
          <t>Z</t>
        </is>
      </c>
      <c r="J137" s="18" t="inlineStr">
        <is>
          <t>BZ</t>
        </is>
      </c>
      <c r="K137" s="20" t="inlineStr">
        <is>
          <t>Responsive Reorder | Buffer against Demand Spikes | Strict Minimum Order Quantity</t>
        </is>
      </c>
    </row>
    <row r="138">
      <c r="B138" s="9" t="inlineStr">
        <is>
          <t>FOODS_1_215</t>
        </is>
      </c>
      <c r="C138" s="10" t="n">
        <v>3670.56</v>
      </c>
      <c r="D138" s="13" t="n">
        <v>0.8448</v>
      </c>
      <c r="E138" s="18" t="inlineStr">
        <is>
          <t>B</t>
        </is>
      </c>
      <c r="F138" s="12" t="n">
        <v>1.1009</v>
      </c>
      <c r="G138" s="12" t="n">
        <v>1.9237</v>
      </c>
      <c r="H138" s="12" t="n">
        <v>1.7474</v>
      </c>
      <c r="I138" s="18" t="inlineStr">
        <is>
          <t>Z</t>
        </is>
      </c>
      <c r="J138" s="18" t="inlineStr">
        <is>
          <t>BZ</t>
        </is>
      </c>
      <c r="K138" s="20" t="inlineStr">
        <is>
          <t>Responsive Reorder | Buffer against Demand Spikes | Strict Minimum Order Quantity</t>
        </is>
      </c>
    </row>
    <row r="139">
      <c r="B139" s="9" t="inlineStr">
        <is>
          <t>FOODS_1_072</t>
        </is>
      </c>
      <c r="C139" s="10" t="n">
        <v>3647.32</v>
      </c>
      <c r="D139" s="13" t="n">
        <v>0.8476</v>
      </c>
      <c r="E139" s="18" t="inlineStr">
        <is>
          <t>B</t>
        </is>
      </c>
      <c r="F139" s="12" t="n">
        <v>0.3968</v>
      </c>
      <c r="G139" s="12" t="n">
        <v>0.8384</v>
      </c>
      <c r="H139" s="12" t="n">
        <v>2.1129</v>
      </c>
      <c r="I139" s="18" t="inlineStr">
        <is>
          <t>Z</t>
        </is>
      </c>
      <c r="J139" s="18" t="inlineStr">
        <is>
          <t>BZ</t>
        </is>
      </c>
      <c r="K139" s="20" t="inlineStr">
        <is>
          <t>Responsive Reorder | Buffer against Demand Spikes | Strict Minimum Order Quantity</t>
        </is>
      </c>
    </row>
    <row r="140">
      <c r="B140" s="9" t="inlineStr">
        <is>
          <t>FOODS_1_063</t>
        </is>
      </c>
      <c r="C140" s="10" t="n">
        <v>3644.61</v>
      </c>
      <c r="D140" s="13" t="n">
        <v>0.8504</v>
      </c>
      <c r="E140" s="18" t="inlineStr">
        <is>
          <t>B</t>
        </is>
      </c>
      <c r="F140" s="12" t="n">
        <v>0.8688</v>
      </c>
      <c r="G140" s="12" t="n">
        <v>1.1481</v>
      </c>
      <c r="H140" s="12" t="n">
        <v>1.3215</v>
      </c>
      <c r="I140" s="18" t="inlineStr">
        <is>
          <t>Z</t>
        </is>
      </c>
      <c r="J140" s="18" t="inlineStr">
        <is>
          <t>BZ</t>
        </is>
      </c>
      <c r="K140" s="20" t="inlineStr">
        <is>
          <t>Responsive Reorder | Buffer against Demand Spikes | Strict Minimum Order Quantity</t>
        </is>
      </c>
    </row>
    <row r="141">
      <c r="B141" s="9" t="inlineStr">
        <is>
          <t>FOODS_1_139</t>
        </is>
      </c>
      <c r="C141" s="10" t="n">
        <v>3619.14</v>
      </c>
      <c r="D141" s="13" t="n">
        <v>0.8532</v>
      </c>
      <c r="E141" s="18" t="inlineStr">
        <is>
          <t>B</t>
        </is>
      </c>
      <c r="F141" s="12" t="n">
        <v>1.9305</v>
      </c>
      <c r="G141" s="12" t="n">
        <v>2.6414</v>
      </c>
      <c r="H141" s="12" t="n">
        <v>1.3682</v>
      </c>
      <c r="I141" s="18" t="inlineStr">
        <is>
          <t>Z</t>
        </is>
      </c>
      <c r="J141" s="18" t="inlineStr">
        <is>
          <t>BZ</t>
        </is>
      </c>
      <c r="K141" s="20" t="inlineStr">
        <is>
          <t>Responsive Reorder | Buffer against Demand Spikes | Strict Minimum Order Quantity</t>
        </is>
      </c>
    </row>
    <row r="142">
      <c r="B142" s="9" t="inlineStr">
        <is>
          <t>FOODS_1_204</t>
        </is>
      </c>
      <c r="C142" s="10" t="n">
        <v>3605.34</v>
      </c>
      <c r="D142" s="13" t="n">
        <v>0.856</v>
      </c>
      <c r="E142" s="18" t="inlineStr">
        <is>
          <t>B</t>
        </is>
      </c>
      <c r="F142" s="12" t="n">
        <v>1.9226</v>
      </c>
      <c r="G142" s="12" t="n">
        <v>2.9441</v>
      </c>
      <c r="H142" s="12" t="n">
        <v>1.5313</v>
      </c>
      <c r="I142" s="18" t="inlineStr">
        <is>
          <t>Z</t>
        </is>
      </c>
      <c r="J142" s="18" t="inlineStr">
        <is>
          <t>BZ</t>
        </is>
      </c>
      <c r="K142" s="20" t="inlineStr">
        <is>
          <t>Responsive Reorder | Buffer against Demand Spikes | Strict Minimum Order Quantity</t>
        </is>
      </c>
    </row>
    <row r="143">
      <c r="B143" s="9" t="inlineStr">
        <is>
          <t>FOODS_1_163</t>
        </is>
      </c>
      <c r="C143" s="10" t="n">
        <v>3570.14</v>
      </c>
      <c r="D143" s="13" t="n">
        <v>0.8587</v>
      </c>
      <c r="E143" s="18" t="inlineStr">
        <is>
          <t>B</t>
        </is>
      </c>
      <c r="F143" s="12" t="n">
        <v>1.9043</v>
      </c>
      <c r="G143" s="12" t="n">
        <v>4.4535</v>
      </c>
      <c r="H143" s="12" t="n">
        <v>2.3387</v>
      </c>
      <c r="I143" s="18" t="inlineStr">
        <is>
          <t>Z</t>
        </is>
      </c>
      <c r="J143" s="18" t="inlineStr">
        <is>
          <t>BZ</t>
        </is>
      </c>
      <c r="K143" s="20" t="inlineStr">
        <is>
          <t>Responsive Reorder | Buffer against Demand Spikes | Strict Minimum Order Quantity</t>
        </is>
      </c>
    </row>
    <row r="144">
      <c r="B144" s="9" t="inlineStr">
        <is>
          <t>FOODS_1_025</t>
        </is>
      </c>
      <c r="C144" s="10" t="n">
        <v>3511.49</v>
      </c>
      <c r="D144" s="13" t="n">
        <v>0.8614000000000001</v>
      </c>
      <c r="E144" s="18" t="inlineStr">
        <is>
          <t>B</t>
        </is>
      </c>
      <c r="F144" s="12" t="n">
        <v>0.4496</v>
      </c>
      <c r="G144" s="12" t="n">
        <v>0.9014</v>
      </c>
      <c r="H144" s="12" t="n">
        <v>2.0049</v>
      </c>
      <c r="I144" s="18" t="inlineStr">
        <is>
          <t>Z</t>
        </is>
      </c>
      <c r="J144" s="18" t="inlineStr">
        <is>
          <t>BZ</t>
        </is>
      </c>
      <c r="K144" s="20" t="inlineStr">
        <is>
          <t>Responsive Reorder | Buffer against Demand Spikes | Strict Minimum Order Quantity</t>
        </is>
      </c>
    </row>
    <row r="145">
      <c r="B145" s="9" t="inlineStr">
        <is>
          <t>FOODS_1_035</t>
        </is>
      </c>
      <c r="C145" s="10" t="n">
        <v>3502.9</v>
      </c>
      <c r="D145" s="13" t="n">
        <v>0.8641</v>
      </c>
      <c r="E145" s="18" t="inlineStr">
        <is>
          <t>B</t>
        </is>
      </c>
      <c r="F145" s="12" t="n">
        <v>0.7188</v>
      </c>
      <c r="G145" s="12" t="n">
        <v>1.5997</v>
      </c>
      <c r="H145" s="12" t="n">
        <v>2.2255</v>
      </c>
      <c r="I145" s="18" t="inlineStr">
        <is>
          <t>Z</t>
        </is>
      </c>
      <c r="J145" s="18" t="inlineStr">
        <is>
          <t>BZ</t>
        </is>
      </c>
      <c r="K145" s="20" t="inlineStr">
        <is>
          <t>Responsive Reorder | Buffer against Demand Spikes | Strict Minimum Order Quantity</t>
        </is>
      </c>
    </row>
    <row r="146">
      <c r="B146" s="9" t="inlineStr">
        <is>
          <t>FOODS_1_146</t>
        </is>
      </c>
      <c r="C146" s="10" t="n">
        <v>3478.58</v>
      </c>
      <c r="D146" s="13" t="n">
        <v>0.8668</v>
      </c>
      <c r="E146" s="18" t="inlineStr">
        <is>
          <t>B</t>
        </is>
      </c>
      <c r="F146" s="12" t="n">
        <v>0.8129</v>
      </c>
      <c r="G146" s="12" t="n">
        <v>1.2164</v>
      </c>
      <c r="H146" s="12" t="n">
        <v>1.4964</v>
      </c>
      <c r="I146" s="18" t="inlineStr">
        <is>
          <t>Z</t>
        </is>
      </c>
      <c r="J146" s="18" t="inlineStr">
        <is>
          <t>BZ</t>
        </is>
      </c>
      <c r="K146" s="20" t="inlineStr">
        <is>
          <t>Responsive Reorder | Buffer against Demand Spikes | Strict Minimum Order Quantity</t>
        </is>
      </c>
    </row>
    <row r="147">
      <c r="B147" s="9" t="inlineStr">
        <is>
          <t>FOODS_1_096</t>
        </is>
      </c>
      <c r="C147" s="10" t="n">
        <v>3469.64</v>
      </c>
      <c r="D147" s="13" t="n">
        <v>0.8694</v>
      </c>
      <c r="E147" s="18" t="inlineStr">
        <is>
          <t>B</t>
        </is>
      </c>
      <c r="F147" s="12" t="n">
        <v>0.3084</v>
      </c>
      <c r="G147" s="12" t="n">
        <v>0.6516999999999999</v>
      </c>
      <c r="H147" s="12" t="n">
        <v>2.1132</v>
      </c>
      <c r="I147" s="18" t="inlineStr">
        <is>
          <t>Z</t>
        </is>
      </c>
      <c r="J147" s="18" t="inlineStr">
        <is>
          <t>BZ</t>
        </is>
      </c>
      <c r="K147" s="20" t="inlineStr">
        <is>
          <t>Responsive Reorder | Buffer against Demand Spikes | Strict Minimum Order Quantity</t>
        </is>
      </c>
    </row>
    <row r="148">
      <c r="B148" s="9" t="inlineStr">
        <is>
          <t>FOODS_1_066</t>
        </is>
      </c>
      <c r="C148" s="10" t="n">
        <v>3438.97</v>
      </c>
      <c r="D148" s="13" t="n">
        <v>0.8721</v>
      </c>
      <c r="E148" s="18" t="inlineStr">
        <is>
          <t>B</t>
        </is>
      </c>
      <c r="F148" s="12" t="n">
        <v>1.3241</v>
      </c>
      <c r="G148" s="12" t="n">
        <v>1.8657</v>
      </c>
      <c r="H148" s="12" t="n">
        <v>1.409</v>
      </c>
      <c r="I148" s="18" t="inlineStr">
        <is>
          <t>Z</t>
        </is>
      </c>
      <c r="J148" s="18" t="inlineStr">
        <is>
          <t>BZ</t>
        </is>
      </c>
      <c r="K148" s="20" t="inlineStr">
        <is>
          <t>Responsive Reorder | Buffer against Demand Spikes | Strict Minimum Order Quantity</t>
        </is>
      </c>
    </row>
    <row r="149">
      <c r="B149" s="9" t="inlineStr">
        <is>
          <t>FOODS_1_048</t>
        </is>
      </c>
      <c r="C149" s="10" t="n">
        <v>3432.52</v>
      </c>
      <c r="D149" s="13" t="n">
        <v>0.8747</v>
      </c>
      <c r="E149" s="18" t="inlineStr">
        <is>
          <t>B</t>
        </is>
      </c>
      <c r="F149" s="12" t="n">
        <v>0.3001</v>
      </c>
      <c r="G149" s="12" t="n">
        <v>0.7173</v>
      </c>
      <c r="H149" s="12" t="n">
        <v>2.3902</v>
      </c>
      <c r="I149" s="18" t="inlineStr">
        <is>
          <t>Z</t>
        </is>
      </c>
      <c r="J149" s="18" t="inlineStr">
        <is>
          <t>BZ</t>
        </is>
      </c>
      <c r="K149" s="20" t="inlineStr">
        <is>
          <t>Responsive Reorder | Buffer against Demand Spikes | Strict Minimum Order Quantity</t>
        </is>
      </c>
    </row>
    <row r="150">
      <c r="B150" s="9" t="inlineStr">
        <is>
          <t>FOODS_1_092</t>
        </is>
      </c>
      <c r="C150" s="10" t="n">
        <v>3376.8</v>
      </c>
      <c r="D150" s="13" t="n">
        <v>0.8773000000000001</v>
      </c>
      <c r="E150" s="18" t="inlineStr">
        <is>
          <t>B</t>
        </is>
      </c>
      <c r="F150" s="12" t="n">
        <v>0.9645</v>
      </c>
      <c r="G150" s="12" t="n">
        <v>1.6206</v>
      </c>
      <c r="H150" s="12" t="n">
        <v>1.6802</v>
      </c>
      <c r="I150" s="18" t="inlineStr">
        <is>
          <t>Z</t>
        </is>
      </c>
      <c r="J150" s="18" t="inlineStr">
        <is>
          <t>BZ</t>
        </is>
      </c>
      <c r="K150" s="20" t="inlineStr">
        <is>
          <t>Responsive Reorder | Buffer against Demand Spikes | Strict Minimum Order Quantity</t>
        </is>
      </c>
    </row>
    <row r="151">
      <c r="B151" s="9" t="inlineStr">
        <is>
          <t>FOODS_1_188</t>
        </is>
      </c>
      <c r="C151" s="10" t="n">
        <v>3346.54</v>
      </c>
      <c r="D151" s="13" t="n">
        <v>0.8798999999999999</v>
      </c>
      <c r="E151" s="18" t="inlineStr">
        <is>
          <t>B</t>
        </is>
      </c>
      <c r="F151" s="12" t="n">
        <v>0.587</v>
      </c>
      <c r="G151" s="12" t="n">
        <v>1.2761</v>
      </c>
      <c r="H151" s="12" t="n">
        <v>2.1739</v>
      </c>
      <c r="I151" s="18" t="inlineStr">
        <is>
          <t>Z</t>
        </is>
      </c>
      <c r="J151" s="18" t="inlineStr">
        <is>
          <t>BZ</t>
        </is>
      </c>
      <c r="K151" s="20" t="inlineStr">
        <is>
          <t>Responsive Reorder | Buffer against Demand Spikes | Strict Minimum Order Quantity</t>
        </is>
      </c>
    </row>
    <row r="152">
      <c r="B152" s="9" t="inlineStr">
        <is>
          <t>FOODS_1_213</t>
        </is>
      </c>
      <c r="C152" s="10" t="n">
        <v>3283.14</v>
      </c>
      <c r="D152" s="13" t="n">
        <v>0.8824</v>
      </c>
      <c r="E152" s="18" t="inlineStr">
        <is>
          <t>B</t>
        </is>
      </c>
      <c r="F152" s="12" t="n">
        <v>0.7397</v>
      </c>
      <c r="G152" s="12" t="n">
        <v>1.1649</v>
      </c>
      <c r="H152" s="12" t="n">
        <v>1.5748</v>
      </c>
      <c r="I152" s="18" t="inlineStr">
        <is>
          <t>Z</t>
        </is>
      </c>
      <c r="J152" s="18" t="inlineStr">
        <is>
          <t>BZ</t>
        </is>
      </c>
      <c r="K152" s="20" t="inlineStr">
        <is>
          <t>Responsive Reorder | Buffer against Demand Spikes | Strict Minimum Order Quantity</t>
        </is>
      </c>
    </row>
    <row r="153">
      <c r="B153" s="9" t="inlineStr">
        <is>
          <t>FOODS_1_028</t>
        </is>
      </c>
      <c r="C153" s="10" t="n">
        <v>3262.94</v>
      </c>
      <c r="D153" s="13" t="n">
        <v>0.8848999999999999</v>
      </c>
      <c r="E153" s="18" t="inlineStr">
        <is>
          <t>B</t>
        </is>
      </c>
      <c r="F153" s="12" t="n">
        <v>0.6079</v>
      </c>
      <c r="G153" s="12" t="n">
        <v>1.6277</v>
      </c>
      <c r="H153" s="12" t="n">
        <v>2.6776</v>
      </c>
      <c r="I153" s="18" t="inlineStr">
        <is>
          <t>Z</t>
        </is>
      </c>
      <c r="J153" s="18" t="inlineStr">
        <is>
          <t>BZ</t>
        </is>
      </c>
      <c r="K153" s="20" t="inlineStr">
        <is>
          <t>Responsive Reorder | Buffer against Demand Spikes | Strict Minimum Order Quantity</t>
        </is>
      </c>
    </row>
    <row r="154">
      <c r="B154" s="9" t="inlineStr">
        <is>
          <t>FOODS_1_091</t>
        </is>
      </c>
      <c r="C154" s="10" t="n">
        <v>3243.42</v>
      </c>
      <c r="D154" s="13" t="n">
        <v>0.8874</v>
      </c>
      <c r="E154" s="18" t="inlineStr">
        <is>
          <t>B</t>
        </is>
      </c>
      <c r="F154" s="12" t="n">
        <v>0.7297</v>
      </c>
      <c r="G154" s="12" t="n">
        <v>1.1249</v>
      </c>
      <c r="H154" s="12" t="n">
        <v>1.5416</v>
      </c>
      <c r="I154" s="18" t="inlineStr">
        <is>
          <t>Z</t>
        </is>
      </c>
      <c r="J154" s="18" t="inlineStr">
        <is>
          <t>BZ</t>
        </is>
      </c>
      <c r="K154" s="20" t="inlineStr">
        <is>
          <t>Responsive Reorder | Buffer against Demand Spikes | Strict Minimum Order Quantity</t>
        </is>
      </c>
    </row>
    <row r="155">
      <c r="B155" s="9" t="inlineStr">
        <is>
          <t>FOODS_1_001</t>
        </is>
      </c>
      <c r="C155" s="10" t="n">
        <v>3228.48</v>
      </c>
      <c r="D155" s="13" t="n">
        <v>0.8898</v>
      </c>
      <c r="E155" s="18" t="inlineStr">
        <is>
          <t>B</t>
        </is>
      </c>
      <c r="F155" s="12" t="n">
        <v>0.7857</v>
      </c>
      <c r="G155" s="12" t="n">
        <v>1.2581</v>
      </c>
      <c r="H155" s="12" t="n">
        <v>1.6012</v>
      </c>
      <c r="I155" s="18" t="inlineStr">
        <is>
          <t>Z</t>
        </is>
      </c>
      <c r="J155" s="18" t="inlineStr">
        <is>
          <t>BZ</t>
        </is>
      </c>
      <c r="K155" s="20" t="inlineStr">
        <is>
          <t>Responsive Reorder | Buffer against Demand Spikes | Strict Minimum Order Quantity</t>
        </is>
      </c>
    </row>
    <row r="156">
      <c r="B156" s="9" t="inlineStr">
        <is>
          <t>FOODS_1_034</t>
        </is>
      </c>
      <c r="C156" s="10" t="n">
        <v>3221.56</v>
      </c>
      <c r="D156" s="13" t="n">
        <v>0.8923000000000001</v>
      </c>
      <c r="E156" s="18" t="inlineStr">
        <is>
          <t>B</t>
        </is>
      </c>
      <c r="F156" s="12" t="n">
        <v>0.3068</v>
      </c>
      <c r="G156" s="12" t="n">
        <v>0.6488</v>
      </c>
      <c r="H156" s="12" t="n">
        <v>2.1147</v>
      </c>
      <c r="I156" s="18" t="inlineStr">
        <is>
          <t>Z</t>
        </is>
      </c>
      <c r="J156" s="18" t="inlineStr">
        <is>
          <t>BZ</t>
        </is>
      </c>
      <c r="K156" s="20" t="inlineStr">
        <is>
          <t>Responsive Reorder | Buffer against Demand Spikes | Strict Minimum Order Quantity</t>
        </is>
      </c>
    </row>
    <row r="157">
      <c r="B157" s="9" t="inlineStr">
        <is>
          <t>FOODS_1_030</t>
        </is>
      </c>
      <c r="C157" s="10" t="n">
        <v>3175.28</v>
      </c>
      <c r="D157" s="13" t="n">
        <v>0.8946999999999999</v>
      </c>
      <c r="E157" s="18" t="inlineStr">
        <is>
          <t>B</t>
        </is>
      </c>
      <c r="F157" s="12" t="n">
        <v>0.5337</v>
      </c>
      <c r="G157" s="12" t="n">
        <v>1.1338</v>
      </c>
      <c r="H157" s="12" t="n">
        <v>2.1244</v>
      </c>
      <c r="I157" s="18" t="inlineStr">
        <is>
          <t>Z</t>
        </is>
      </c>
      <c r="J157" s="18" t="inlineStr">
        <is>
          <t>BZ</t>
        </is>
      </c>
      <c r="K157" s="20" t="inlineStr">
        <is>
          <t>Responsive Reorder | Buffer against Demand Spikes | Strict Minimum Order Quantity</t>
        </is>
      </c>
    </row>
    <row r="158">
      <c r="B158" s="9" t="inlineStr">
        <is>
          <t>FOODS_1_033</t>
        </is>
      </c>
      <c r="C158" s="10" t="n">
        <v>3159.13</v>
      </c>
      <c r="D158" s="13" t="n">
        <v>0.8972</v>
      </c>
      <c r="E158" s="18" t="inlineStr">
        <is>
          <t>B</t>
        </is>
      </c>
      <c r="F158" s="12" t="n">
        <v>0.3021</v>
      </c>
      <c r="G158" s="12" t="n">
        <v>0.8161</v>
      </c>
      <c r="H158" s="12" t="n">
        <v>2.7014</v>
      </c>
      <c r="I158" s="18" t="inlineStr">
        <is>
          <t>Z</t>
        </is>
      </c>
      <c r="J158" s="18" t="inlineStr">
        <is>
          <t>BZ</t>
        </is>
      </c>
      <c r="K158" s="20" t="inlineStr">
        <is>
          <t>Responsive Reorder | Buffer against Demand Spikes | Strict Minimum Order Quantity</t>
        </is>
      </c>
    </row>
    <row r="159">
      <c r="B159" s="9" t="inlineStr">
        <is>
          <t>FOODS_1_193</t>
        </is>
      </c>
      <c r="C159" s="10" t="n">
        <v>3103.13</v>
      </c>
      <c r="D159" s="13" t="n">
        <v>0.8996</v>
      </c>
      <c r="E159" s="18" t="inlineStr">
        <is>
          <t>B</t>
        </is>
      </c>
      <c r="F159" s="12" t="n">
        <v>0.3398</v>
      </c>
      <c r="G159" s="12" t="n">
        <v>1.0383</v>
      </c>
      <c r="H159" s="12" t="n">
        <v>3.0556</v>
      </c>
      <c r="I159" s="18" t="inlineStr">
        <is>
          <t>Z</t>
        </is>
      </c>
      <c r="J159" s="18" t="inlineStr">
        <is>
          <t>BZ</t>
        </is>
      </c>
      <c r="K159" s="20" t="inlineStr">
        <is>
          <t>Responsive Reorder | Buffer against Demand Spikes | Strict Minimum Order Quantity</t>
        </is>
      </c>
    </row>
    <row r="160">
      <c r="B160" s="9" t="inlineStr">
        <is>
          <t>FOODS_1_203</t>
        </is>
      </c>
      <c r="C160" s="10" t="n">
        <v>3029.44</v>
      </c>
      <c r="D160" s="13" t="n">
        <v>0.9018999999999999</v>
      </c>
      <c r="E160" s="18" t="inlineStr">
        <is>
          <t>B</t>
        </is>
      </c>
      <c r="F160" s="12" t="n">
        <v>0.7271</v>
      </c>
      <c r="G160" s="12" t="n">
        <v>1.51</v>
      </c>
      <c r="H160" s="12" t="n">
        <v>2.0767</v>
      </c>
      <c r="I160" s="18" t="inlineStr">
        <is>
          <t>Z</t>
        </is>
      </c>
      <c r="J160" s="18" t="inlineStr">
        <is>
          <t>BZ</t>
        </is>
      </c>
      <c r="K160" s="20" t="inlineStr">
        <is>
          <t>Responsive Reorder | Buffer against Demand Spikes | Strict Minimum Order Quantity</t>
        </is>
      </c>
    </row>
    <row r="161">
      <c r="B161" s="9" t="inlineStr">
        <is>
          <t>FOODS_1_138</t>
        </is>
      </c>
      <c r="C161" s="10" t="n">
        <v>3019.76</v>
      </c>
      <c r="D161" s="13" t="n">
        <v>0.9042</v>
      </c>
      <c r="E161" s="18" t="inlineStr">
        <is>
          <t>B</t>
        </is>
      </c>
      <c r="F161" s="12" t="n">
        <v>0.6336000000000001</v>
      </c>
      <c r="G161" s="12" t="n">
        <v>1.4205</v>
      </c>
      <c r="H161" s="12" t="n">
        <v>2.242</v>
      </c>
      <c r="I161" s="18" t="inlineStr">
        <is>
          <t>Z</t>
        </is>
      </c>
      <c r="J161" s="18" t="inlineStr">
        <is>
          <t>BZ</t>
        </is>
      </c>
      <c r="K161" s="20" t="inlineStr">
        <is>
          <t>Responsive Reorder | Buffer against Demand Spikes | Strict Minimum Order Quantity</t>
        </is>
      </c>
    </row>
    <row r="162">
      <c r="B162" s="9" t="inlineStr">
        <is>
          <t>FOODS_1_011</t>
        </is>
      </c>
      <c r="C162" s="10" t="n">
        <v>3000.54</v>
      </c>
      <c r="D162" s="13" t="n">
        <v>0.9065000000000001</v>
      </c>
      <c r="E162" s="18" t="inlineStr">
        <is>
          <t>B</t>
        </is>
      </c>
      <c r="F162" s="12" t="n">
        <v>0.6158</v>
      </c>
      <c r="G162" s="12" t="n">
        <v>1.2236</v>
      </c>
      <c r="H162" s="12" t="n">
        <v>1.987</v>
      </c>
      <c r="I162" s="18" t="inlineStr">
        <is>
          <t>Z</t>
        </is>
      </c>
      <c r="J162" s="18" t="inlineStr">
        <is>
          <t>BZ</t>
        </is>
      </c>
      <c r="K162" s="20" t="inlineStr">
        <is>
          <t>Responsive Reorder | Buffer against Demand Spikes | Strict Minimum Order Quantity</t>
        </is>
      </c>
    </row>
    <row r="163">
      <c r="B163" s="9" t="inlineStr">
        <is>
          <t>FOODS_1_209</t>
        </is>
      </c>
      <c r="C163" s="10" t="n">
        <v>2979.76</v>
      </c>
      <c r="D163" s="13" t="n">
        <v>0.9087999999999999</v>
      </c>
      <c r="E163" s="18" t="inlineStr">
        <is>
          <t>B</t>
        </is>
      </c>
      <c r="F163" s="12" t="n">
        <v>0.6654</v>
      </c>
      <c r="G163" s="12" t="n">
        <v>1.0114</v>
      </c>
      <c r="H163" s="12" t="n">
        <v>1.52</v>
      </c>
      <c r="I163" s="18" t="inlineStr">
        <is>
          <t>Z</t>
        </is>
      </c>
      <c r="J163" s="18" t="inlineStr">
        <is>
          <t>BZ</t>
        </is>
      </c>
      <c r="K163" s="20" t="inlineStr">
        <is>
          <t>Responsive Reorder | Buffer against Demand Spikes | Strict Minimum Order Quantity</t>
        </is>
      </c>
    </row>
    <row r="164">
      <c r="B164" s="9" t="inlineStr">
        <is>
          <t>FOODS_1_176</t>
        </is>
      </c>
      <c r="C164" s="10" t="n">
        <v>2976.38</v>
      </c>
      <c r="D164" s="13" t="n">
        <v>0.9111</v>
      </c>
      <c r="E164" s="18" t="inlineStr">
        <is>
          <t>B</t>
        </is>
      </c>
      <c r="F164" s="12" t="n">
        <v>0.506</v>
      </c>
      <c r="G164" s="12" t="n">
        <v>1.2384</v>
      </c>
      <c r="H164" s="12" t="n">
        <v>2.4474</v>
      </c>
      <c r="I164" s="18" t="inlineStr">
        <is>
          <t>Z</t>
        </is>
      </c>
      <c r="J164" s="18" t="inlineStr">
        <is>
          <t>BZ</t>
        </is>
      </c>
      <c r="K164" s="20" t="inlineStr">
        <is>
          <t>Responsive Reorder | Buffer against Demand Spikes | Strict Minimum Order Quantity</t>
        </is>
      </c>
    </row>
    <row r="165">
      <c r="B165" s="9" t="inlineStr">
        <is>
          <t>FOODS_1_168</t>
        </is>
      </c>
      <c r="C165" s="10" t="n">
        <v>2953.98</v>
      </c>
      <c r="D165" s="13" t="n">
        <v>0.9133</v>
      </c>
      <c r="E165" s="18" t="inlineStr">
        <is>
          <t>B</t>
        </is>
      </c>
      <c r="F165" s="12" t="n">
        <v>0.7171999999999999</v>
      </c>
      <c r="G165" s="12" t="n">
        <v>1.1782</v>
      </c>
      <c r="H165" s="12" t="n">
        <v>1.6428</v>
      </c>
      <c r="I165" s="18" t="inlineStr">
        <is>
          <t>Z</t>
        </is>
      </c>
      <c r="J165" s="18" t="inlineStr">
        <is>
          <t>BZ</t>
        </is>
      </c>
      <c r="K165" s="20" t="inlineStr">
        <is>
          <t>Responsive Reorder | Buffer against Demand Spikes | Strict Minimum Order Quantity</t>
        </is>
      </c>
    </row>
    <row r="166">
      <c r="B166" s="9" t="inlineStr">
        <is>
          <t>FOODS_1_068</t>
        </is>
      </c>
      <c r="C166" s="10" t="n">
        <v>2878.32</v>
      </c>
      <c r="D166" s="13" t="n">
        <v>0.9155</v>
      </c>
      <c r="E166" s="18" t="inlineStr">
        <is>
          <t>B</t>
        </is>
      </c>
      <c r="F166" s="12" t="n">
        <v>0.4203</v>
      </c>
      <c r="G166" s="12" t="n">
        <v>1.033</v>
      </c>
      <c r="H166" s="12" t="n">
        <v>2.4578</v>
      </c>
      <c r="I166" s="18" t="inlineStr">
        <is>
          <t>Z</t>
        </is>
      </c>
      <c r="J166" s="18" t="inlineStr">
        <is>
          <t>BZ</t>
        </is>
      </c>
      <c r="K166" s="20" t="inlineStr">
        <is>
          <t>Responsive Reorder | Buffer against Demand Spikes | Strict Minimum Order Quantity</t>
        </is>
      </c>
    </row>
    <row r="167">
      <c r="B167" s="9" t="inlineStr">
        <is>
          <t>FOODS_1_119</t>
        </is>
      </c>
      <c r="C167" s="10" t="n">
        <v>2823</v>
      </c>
      <c r="D167" s="13" t="n">
        <v>0.9177</v>
      </c>
      <c r="E167" s="18" t="inlineStr">
        <is>
          <t>B</t>
        </is>
      </c>
      <c r="F167" s="12" t="n">
        <v>0.4381</v>
      </c>
      <c r="G167" s="12" t="n">
        <v>0.9202</v>
      </c>
      <c r="H167" s="12" t="n">
        <v>2.1004</v>
      </c>
      <c r="I167" s="18" t="inlineStr">
        <is>
          <t>Z</t>
        </is>
      </c>
      <c r="J167" s="18" t="inlineStr">
        <is>
          <t>BZ</t>
        </is>
      </c>
      <c r="K167" s="20" t="inlineStr">
        <is>
          <t>Responsive Reorder | Buffer against Demand Spikes | Strict Minimum Order Quantity</t>
        </is>
      </c>
    </row>
    <row r="168">
      <c r="B168" s="9" t="inlineStr">
        <is>
          <t>FOODS_1_182</t>
        </is>
      </c>
      <c r="C168" s="10" t="n">
        <v>2790.81</v>
      </c>
      <c r="D168" s="13" t="n">
        <v>0.9198000000000001</v>
      </c>
      <c r="E168" s="18" t="inlineStr">
        <is>
          <t>B</t>
        </is>
      </c>
      <c r="F168" s="12" t="n">
        <v>0.7277</v>
      </c>
      <c r="G168" s="12" t="n">
        <v>1.2637</v>
      </c>
      <c r="H168" s="12" t="n">
        <v>1.7366</v>
      </c>
      <c r="I168" s="18" t="inlineStr">
        <is>
          <t>Z</t>
        </is>
      </c>
      <c r="J168" s="18" t="inlineStr">
        <is>
          <t>BZ</t>
        </is>
      </c>
      <c r="K168" s="20" t="inlineStr">
        <is>
          <t>Responsive Reorder | Buffer against Demand Spikes | Strict Minimum Order Quantity</t>
        </is>
      </c>
    </row>
    <row r="169">
      <c r="B169" s="9" t="inlineStr">
        <is>
          <t>FOODS_1_147</t>
        </is>
      </c>
      <c r="C169" s="10" t="n">
        <v>2762.4</v>
      </c>
      <c r="D169" s="13" t="n">
        <v>0.922</v>
      </c>
      <c r="E169" s="18" t="inlineStr">
        <is>
          <t>B</t>
        </is>
      </c>
      <c r="F169" s="12" t="n">
        <v>0.3116</v>
      </c>
      <c r="G169" s="12" t="n">
        <v>0.7226</v>
      </c>
      <c r="H169" s="12" t="n">
        <v>2.319</v>
      </c>
      <c r="I169" s="18" t="inlineStr">
        <is>
          <t>Z</t>
        </is>
      </c>
      <c r="J169" s="18" t="inlineStr">
        <is>
          <t>BZ</t>
        </is>
      </c>
      <c r="K169" s="20" t="inlineStr">
        <is>
          <t>Responsive Reorder | Buffer against Demand Spikes | Strict Minimum Order Quantity</t>
        </is>
      </c>
    </row>
    <row r="170">
      <c r="B170" s="9" t="inlineStr">
        <is>
          <t>FOODS_1_132</t>
        </is>
      </c>
      <c r="C170" s="10" t="n">
        <v>2737.3</v>
      </c>
      <c r="D170" s="13" t="n">
        <v>0.9240999999999999</v>
      </c>
      <c r="E170" s="18" t="inlineStr">
        <is>
          <t>B</t>
        </is>
      </c>
      <c r="F170" s="12" t="n">
        <v>0.7799</v>
      </c>
      <c r="G170" s="12" t="n">
        <v>1.5759</v>
      </c>
      <c r="H170" s="12" t="n">
        <v>2.0206</v>
      </c>
      <c r="I170" s="18" t="inlineStr">
        <is>
          <t>Z</t>
        </is>
      </c>
      <c r="J170" s="18" t="inlineStr">
        <is>
          <t>BZ</t>
        </is>
      </c>
      <c r="K170" s="20" t="inlineStr">
        <is>
          <t>Responsive Reorder | Buffer against Demand Spikes | Strict Minimum Order Quantity</t>
        </is>
      </c>
    </row>
    <row r="171">
      <c r="B171" s="9" t="inlineStr">
        <is>
          <t>FOODS_1_143</t>
        </is>
      </c>
      <c r="C171" s="10" t="n">
        <v>2703.64</v>
      </c>
      <c r="D171" s="13" t="n">
        <v>0.9261</v>
      </c>
      <c r="E171" s="18" t="inlineStr">
        <is>
          <t>B</t>
        </is>
      </c>
      <c r="F171" s="12" t="n">
        <v>0.7146</v>
      </c>
      <c r="G171" s="12" t="n">
        <v>1.4168</v>
      </c>
      <c r="H171" s="12" t="n">
        <v>1.9826</v>
      </c>
      <c r="I171" s="18" t="inlineStr">
        <is>
          <t>Z</t>
        </is>
      </c>
      <c r="J171" s="18" t="inlineStr">
        <is>
          <t>BZ</t>
        </is>
      </c>
      <c r="K171" s="20" t="inlineStr">
        <is>
          <t>Responsive Reorder | Buffer against Demand Spikes | Strict Minimum Order Quantity</t>
        </is>
      </c>
    </row>
    <row r="172">
      <c r="B172" s="9" t="inlineStr">
        <is>
          <t>FOODS_1_125</t>
        </is>
      </c>
      <c r="C172" s="10" t="n">
        <v>2678.76</v>
      </c>
      <c r="D172" s="13" t="n">
        <v>0.9281999999999999</v>
      </c>
      <c r="E172" s="18" t="inlineStr">
        <is>
          <t>B</t>
        </is>
      </c>
      <c r="F172" s="12" t="n">
        <v>0.2729</v>
      </c>
      <c r="G172" s="12" t="n">
        <v>0.7458</v>
      </c>
      <c r="H172" s="12" t="n">
        <v>2.7329</v>
      </c>
      <c r="I172" s="18" t="inlineStr">
        <is>
          <t>Z</t>
        </is>
      </c>
      <c r="J172" s="18" t="inlineStr">
        <is>
          <t>BZ</t>
        </is>
      </c>
      <c r="K172" s="20" t="inlineStr">
        <is>
          <t>Responsive Reorder | Buffer against Demand Spikes | Strict Minimum Order Quantity</t>
        </is>
      </c>
    </row>
    <row r="173">
      <c r="B173" s="9" t="inlineStr">
        <is>
          <t>FOODS_1_039</t>
        </is>
      </c>
      <c r="C173" s="10" t="n">
        <v>2599.04</v>
      </c>
      <c r="D173" s="13" t="n">
        <v>0.9301999999999999</v>
      </c>
      <c r="E173" s="18" t="inlineStr">
        <is>
          <t>B</t>
        </is>
      </c>
      <c r="F173" s="12" t="n">
        <v>0.5478</v>
      </c>
      <c r="G173" s="12" t="n">
        <v>1.0934</v>
      </c>
      <c r="H173" s="12" t="n">
        <v>1.996</v>
      </c>
      <c r="I173" s="18" t="inlineStr">
        <is>
          <t>Z</t>
        </is>
      </c>
      <c r="J173" s="18" t="inlineStr">
        <is>
          <t>BZ</t>
        </is>
      </c>
      <c r="K173" s="20" t="inlineStr">
        <is>
          <t>Responsive Reorder | Buffer against Demand Spikes | Strict Minimum Order Quantity</t>
        </is>
      </c>
    </row>
    <row r="174">
      <c r="B174" s="9" t="inlineStr">
        <is>
          <t>FOODS_1_169</t>
        </is>
      </c>
      <c r="C174" s="10" t="n">
        <v>2485.88</v>
      </c>
      <c r="D174" s="13" t="n">
        <v>0.9320999999999999</v>
      </c>
      <c r="E174" s="18" t="inlineStr">
        <is>
          <t>B</t>
        </is>
      </c>
      <c r="F174" s="12" t="n">
        <v>0.4104</v>
      </c>
      <c r="G174" s="12" t="n">
        <v>1.0869</v>
      </c>
      <c r="H174" s="12" t="n">
        <v>2.6484</v>
      </c>
      <c r="I174" s="18" t="inlineStr">
        <is>
          <t>Z</t>
        </is>
      </c>
      <c r="J174" s="18" t="inlineStr">
        <is>
          <t>BZ</t>
        </is>
      </c>
      <c r="K174" s="20" t="inlineStr">
        <is>
          <t>Responsive Reorder | Buffer against Demand Spikes | Strict Minimum Order Quantity</t>
        </is>
      </c>
    </row>
    <row r="175">
      <c r="B175" s="9" t="inlineStr">
        <is>
          <t>FOODS_1_071</t>
        </is>
      </c>
      <c r="C175" s="10" t="n">
        <v>2458.12</v>
      </c>
      <c r="D175" s="13" t="n">
        <v>0.9340000000000001</v>
      </c>
      <c r="E175" s="18" t="inlineStr">
        <is>
          <t>B</t>
        </is>
      </c>
      <c r="F175" s="12" t="n">
        <v>0.6472</v>
      </c>
      <c r="G175" s="12" t="n">
        <v>1.2931</v>
      </c>
      <c r="H175" s="12" t="n">
        <v>1.998</v>
      </c>
      <c r="I175" s="18" t="inlineStr">
        <is>
          <t>Z</t>
        </is>
      </c>
      <c r="J175" s="18" t="inlineStr">
        <is>
          <t>BZ</t>
        </is>
      </c>
      <c r="K175" s="20" t="inlineStr">
        <is>
          <t>Responsive Reorder | Buffer against Demand Spikes | Strict Minimum Order Quantity</t>
        </is>
      </c>
    </row>
    <row r="176">
      <c r="B176" s="9" t="inlineStr">
        <is>
          <t>FOODS_1_198</t>
        </is>
      </c>
      <c r="C176" s="10" t="n">
        <v>2425.76</v>
      </c>
      <c r="D176" s="13" t="n">
        <v>0.9358</v>
      </c>
      <c r="E176" s="18" t="inlineStr">
        <is>
          <t>B</t>
        </is>
      </c>
      <c r="F176" s="12" t="n">
        <v>0.495</v>
      </c>
      <c r="G176" s="12" t="n">
        <v>1.1662</v>
      </c>
      <c r="H176" s="12" t="n">
        <v>2.356</v>
      </c>
      <c r="I176" s="18" t="inlineStr">
        <is>
          <t>Z</t>
        </is>
      </c>
      <c r="J176" s="18" t="inlineStr">
        <is>
          <t>BZ</t>
        </is>
      </c>
      <c r="K176" s="20" t="inlineStr">
        <is>
          <t>Responsive Reorder | Buffer against Demand Spikes | Strict Minimum Order Quantity</t>
        </is>
      </c>
    </row>
    <row r="177">
      <c r="B177" s="9" t="inlineStr">
        <is>
          <t>FOODS_1_102</t>
        </is>
      </c>
      <c r="C177" s="10" t="n">
        <v>2348.12</v>
      </c>
      <c r="D177" s="13" t="n">
        <v>0.9376000000000001</v>
      </c>
      <c r="E177" s="18" t="inlineStr">
        <is>
          <t>B</t>
        </is>
      </c>
      <c r="F177" s="12" t="n">
        <v>0.6984</v>
      </c>
      <c r="G177" s="12" t="n">
        <v>1.1027</v>
      </c>
      <c r="H177" s="12" t="n">
        <v>1.5789</v>
      </c>
      <c r="I177" s="18" t="inlineStr">
        <is>
          <t>Z</t>
        </is>
      </c>
      <c r="J177" s="18" t="inlineStr">
        <is>
          <t>BZ</t>
        </is>
      </c>
      <c r="K177" s="20" t="inlineStr">
        <is>
          <t>Responsive Reorder | Buffer against Demand Spikes | Strict Minimum Order Quantity</t>
        </is>
      </c>
    </row>
    <row r="178">
      <c r="B178" s="9" t="inlineStr">
        <is>
          <t>FOODS_1_171</t>
        </is>
      </c>
      <c r="C178" s="10" t="n">
        <v>2317.06</v>
      </c>
      <c r="D178" s="13" t="n">
        <v>0.9394</v>
      </c>
      <c r="E178" s="18" t="inlineStr">
        <is>
          <t>B</t>
        </is>
      </c>
      <c r="F178" s="12" t="n">
        <v>0.2556</v>
      </c>
      <c r="G178" s="12" t="n">
        <v>0.8514</v>
      </c>
      <c r="H178" s="12" t="n">
        <v>3.331</v>
      </c>
      <c r="I178" s="18" t="inlineStr">
        <is>
          <t>Z</t>
        </is>
      </c>
      <c r="J178" s="18" t="inlineStr">
        <is>
          <t>BZ</t>
        </is>
      </c>
      <c r="K178" s="20" t="inlineStr">
        <is>
          <t>Responsive Reorder | Buffer against Demand Spikes | Strict Minimum Order Quantity</t>
        </is>
      </c>
    </row>
    <row r="179">
      <c r="B179" s="9" t="inlineStr">
        <is>
          <t>FOODS_1_142</t>
        </is>
      </c>
      <c r="C179" s="10" t="n">
        <v>2307.79</v>
      </c>
      <c r="D179" s="13" t="n">
        <v>0.9412</v>
      </c>
      <c r="E179" s="18" t="inlineStr">
        <is>
          <t>B</t>
        </is>
      </c>
      <c r="F179" s="12" t="n">
        <v>0.8228</v>
      </c>
      <c r="G179" s="12" t="n">
        <v>1.4081</v>
      </c>
      <c r="H179" s="12" t="n">
        <v>1.7114</v>
      </c>
      <c r="I179" s="18" t="inlineStr">
        <is>
          <t>Z</t>
        </is>
      </c>
      <c r="J179" s="18" t="inlineStr">
        <is>
          <t>BZ</t>
        </is>
      </c>
      <c r="K179" s="20" t="inlineStr">
        <is>
          <t>Responsive Reorder | Buffer against Demand Spikes | Strict Minimum Order Quantity</t>
        </is>
      </c>
    </row>
    <row r="180">
      <c r="B180" s="9" t="inlineStr">
        <is>
          <t>FOODS_1_116</t>
        </is>
      </c>
      <c r="C180" s="10" t="n">
        <v>2306.44</v>
      </c>
      <c r="D180" s="13" t="n">
        <v>0.9429999999999999</v>
      </c>
      <c r="E180" s="18" t="inlineStr">
        <is>
          <t>B</t>
        </is>
      </c>
      <c r="F180" s="12" t="n">
        <v>0.4773</v>
      </c>
      <c r="G180" s="12" t="n">
        <v>1.1221</v>
      </c>
      <c r="H180" s="12" t="n">
        <v>2.3509</v>
      </c>
      <c r="I180" s="18" t="inlineStr">
        <is>
          <t>Z</t>
        </is>
      </c>
      <c r="J180" s="18" t="inlineStr">
        <is>
          <t>BZ</t>
        </is>
      </c>
      <c r="K180" s="20" t="inlineStr">
        <is>
          <t>Responsive Reorder | Buffer against Demand Spikes | Strict Minimum Order Quantity</t>
        </is>
      </c>
    </row>
    <row r="181">
      <c r="B181" s="9" t="inlineStr">
        <is>
          <t>FOODS_1_059</t>
        </is>
      </c>
      <c r="C181" s="10" t="n">
        <v>2303.94</v>
      </c>
      <c r="D181" s="13" t="n">
        <v>0.9447</v>
      </c>
      <c r="E181" s="18" t="inlineStr">
        <is>
          <t>B</t>
        </is>
      </c>
      <c r="F181" s="12" t="n">
        <v>0.2541</v>
      </c>
      <c r="G181" s="12" t="n">
        <v>0.7891</v>
      </c>
      <c r="H181" s="12" t="n">
        <v>3.1055</v>
      </c>
      <c r="I181" s="18" t="inlineStr">
        <is>
          <t>Z</t>
        </is>
      </c>
      <c r="J181" s="18" t="inlineStr">
        <is>
          <t>BZ</t>
        </is>
      </c>
      <c r="K181" s="20" t="inlineStr">
        <is>
          <t>Responsive Reorder | Buffer against Demand Spikes | Strict Minimum Order Quantity</t>
        </is>
      </c>
    </row>
    <row r="182">
      <c r="B182" s="9" t="inlineStr">
        <is>
          <t>FOODS_1_156</t>
        </is>
      </c>
      <c r="C182" s="10" t="n">
        <v>2280.78</v>
      </c>
      <c r="D182" s="13" t="n">
        <v>0.9465</v>
      </c>
      <c r="E182" s="18" t="inlineStr">
        <is>
          <t>B</t>
        </is>
      </c>
      <c r="F182" s="12" t="n">
        <v>0.5107</v>
      </c>
      <c r="G182" s="12" t="n">
        <v>0.9391</v>
      </c>
      <c r="H182" s="12" t="n">
        <v>1.8388</v>
      </c>
      <c r="I182" s="18" t="inlineStr">
        <is>
          <t>Z</t>
        </is>
      </c>
      <c r="J182" s="18" t="inlineStr">
        <is>
          <t>BZ</t>
        </is>
      </c>
      <c r="K182" s="20" t="inlineStr">
        <is>
          <t>Responsive Reorder | Buffer against Demand Spikes | Strict Minimum Order Quantity</t>
        </is>
      </c>
    </row>
    <row r="183">
      <c r="B183" s="9" t="inlineStr">
        <is>
          <t>FOODS_1_134</t>
        </is>
      </c>
      <c r="C183" s="10" t="n">
        <v>2223.54</v>
      </c>
      <c r="D183" s="13" t="n">
        <v>0.9481999999999999</v>
      </c>
      <c r="E183" s="18" t="inlineStr">
        <is>
          <t>B</t>
        </is>
      </c>
      <c r="F183" s="12" t="n">
        <v>0.587</v>
      </c>
      <c r="G183" s="12" t="n">
        <v>1.1962</v>
      </c>
      <c r="H183" s="12" t="n">
        <v>2.0378</v>
      </c>
      <c r="I183" s="18" t="inlineStr">
        <is>
          <t>Z</t>
        </is>
      </c>
      <c r="J183" s="18" t="inlineStr">
        <is>
          <t>BZ</t>
        </is>
      </c>
      <c r="K183" s="20" t="inlineStr">
        <is>
          <t>Responsive Reorder | Buffer against Demand Spikes | Strict Minimum Order Quantity</t>
        </is>
      </c>
    </row>
    <row r="184">
      <c r="B184" s="9" t="inlineStr">
        <is>
          <t>FOODS_1_190</t>
        </is>
      </c>
      <c r="C184" s="10" t="n">
        <v>2191.28</v>
      </c>
      <c r="D184" s="13" t="n">
        <v>0.9499</v>
      </c>
      <c r="E184" s="18" t="inlineStr">
        <is>
          <t>B</t>
        </is>
      </c>
      <c r="F184" s="12" t="n">
        <v>1.1688</v>
      </c>
      <c r="G184" s="12" t="n">
        <v>2.1908</v>
      </c>
      <c r="H184" s="12" t="n">
        <v>1.8744</v>
      </c>
      <c r="I184" s="18" t="inlineStr">
        <is>
          <t>Z</t>
        </is>
      </c>
      <c r="J184" s="18" t="inlineStr">
        <is>
          <t>BZ</t>
        </is>
      </c>
      <c r="K184" s="20" t="inlineStr">
        <is>
          <t>Responsive Reorder | Buffer against Demand Spikes | Strict Minimum Order Quantity</t>
        </is>
      </c>
    </row>
    <row r="185">
      <c r="B185" s="9" t="inlineStr">
        <is>
          <t>FOODS_1_155</t>
        </is>
      </c>
      <c r="C185" s="10" t="n">
        <v>2155.02</v>
      </c>
      <c r="D185" s="13" t="n">
        <v>0.9515</v>
      </c>
      <c r="E185" s="18" t="inlineStr">
        <is>
          <t>C</t>
        </is>
      </c>
      <c r="F185" s="12" t="n">
        <v>1.1495</v>
      </c>
      <c r="G185" s="12" t="n">
        <v>1.8965</v>
      </c>
      <c r="H185" s="12" t="n">
        <v>1.6498</v>
      </c>
      <c r="I185" s="18" t="inlineStr">
        <is>
          <t>Z</t>
        </is>
      </c>
      <c r="J185" s="18" t="inlineStr">
        <is>
          <t>CZ</t>
        </is>
      </c>
      <c r="K185" s="20" t="inlineStr">
        <is>
          <t>Make-to-Order / Rationalization Candidate | Zero/Near-Zero Safety Stock</t>
        </is>
      </c>
    </row>
    <row r="186">
      <c r="B186" s="9" t="inlineStr">
        <is>
          <t>FOODS_1_009</t>
        </is>
      </c>
      <c r="C186" s="10" t="n">
        <v>2127.24</v>
      </c>
      <c r="D186" s="13" t="n">
        <v>0.9531999999999999</v>
      </c>
      <c r="E186" s="18" t="inlineStr">
        <is>
          <t>C</t>
        </is>
      </c>
      <c r="F186" s="12" t="n">
        <v>0.4642</v>
      </c>
      <c r="G186" s="12" t="n">
        <v>1.047</v>
      </c>
      <c r="H186" s="12" t="n">
        <v>2.2555</v>
      </c>
      <c r="I186" s="18" t="inlineStr">
        <is>
          <t>Z</t>
        </is>
      </c>
      <c r="J186" s="18" t="inlineStr">
        <is>
          <t>CZ</t>
        </is>
      </c>
      <c r="K186" s="20" t="inlineStr">
        <is>
          <t>Make-to-Order / Rationalization Candidate | Zero/Near-Zero Safety Stock</t>
        </is>
      </c>
    </row>
    <row r="187">
      <c r="B187" s="9" t="inlineStr">
        <is>
          <t>FOODS_1_101</t>
        </is>
      </c>
      <c r="C187" s="10" t="n">
        <v>2085.08</v>
      </c>
      <c r="D187" s="13" t="n">
        <v>0.9548000000000001</v>
      </c>
      <c r="E187" s="18" t="inlineStr">
        <is>
          <t>C</t>
        </is>
      </c>
      <c r="F187" s="12" t="n">
        <v>0.5494</v>
      </c>
      <c r="G187" s="12" t="n">
        <v>1.0618</v>
      </c>
      <c r="H187" s="12" t="n">
        <v>1.9327</v>
      </c>
      <c r="I187" s="18" t="inlineStr">
        <is>
          <t>Z</t>
        </is>
      </c>
      <c r="J187" s="18" t="inlineStr">
        <is>
          <t>CZ</t>
        </is>
      </c>
      <c r="K187" s="20" t="inlineStr">
        <is>
          <t>Make-to-Order / Rationalization Candidate | Zero/Near-Zero Safety Stock</t>
        </is>
      </c>
    </row>
    <row r="188">
      <c r="B188" s="9" t="inlineStr">
        <is>
          <t>FOODS_1_109</t>
        </is>
      </c>
      <c r="C188" s="10" t="n">
        <v>2072.24</v>
      </c>
      <c r="D188" s="13" t="n">
        <v>0.9562999999999999</v>
      </c>
      <c r="E188" s="18" t="inlineStr">
        <is>
          <t>C</t>
        </is>
      </c>
      <c r="F188" s="12" t="n">
        <v>0.4867</v>
      </c>
      <c r="G188" s="12" t="n">
        <v>0.9745</v>
      </c>
      <c r="H188" s="12" t="n">
        <v>2.0023</v>
      </c>
      <c r="I188" s="18" t="inlineStr">
        <is>
          <t>Z</t>
        </is>
      </c>
      <c r="J188" s="18" t="inlineStr">
        <is>
          <t>CZ</t>
        </is>
      </c>
      <c r="K188" s="20" t="inlineStr">
        <is>
          <t>Make-to-Order / Rationalization Candidate | Zero/Near-Zero Safety Stock</t>
        </is>
      </c>
    </row>
    <row r="189">
      <c r="B189" s="9" t="inlineStr">
        <is>
          <t>FOODS_1_212</t>
        </is>
      </c>
      <c r="C189" s="10" t="n">
        <v>2033.42</v>
      </c>
      <c r="D189" s="13" t="n">
        <v>0.9579000000000001</v>
      </c>
      <c r="E189" s="18" t="inlineStr">
        <is>
          <t>C</t>
        </is>
      </c>
      <c r="F189" s="12" t="n">
        <v>0.1756</v>
      </c>
      <c r="G189" s="12" t="n">
        <v>0.4889</v>
      </c>
      <c r="H189" s="12" t="n">
        <v>2.7842</v>
      </c>
      <c r="I189" s="18" t="inlineStr">
        <is>
          <t>Z</t>
        </is>
      </c>
      <c r="J189" s="18" t="inlineStr">
        <is>
          <t>CZ</t>
        </is>
      </c>
      <c r="K189" s="20" t="inlineStr">
        <is>
          <t>Make-to-Order / Rationalization Candidate | Zero/Near-Zero Safety Stock</t>
        </is>
      </c>
    </row>
    <row r="190">
      <c r="B190" s="9" t="inlineStr">
        <is>
          <t>FOODS_1_145</t>
        </is>
      </c>
      <c r="C190" s="10" t="n">
        <v>1995.28</v>
      </c>
      <c r="D190" s="13" t="n">
        <v>0.9594</v>
      </c>
      <c r="E190" s="18" t="inlineStr">
        <is>
          <t>C</t>
        </is>
      </c>
      <c r="F190" s="12" t="n">
        <v>1.0643</v>
      </c>
      <c r="G190" s="12" t="n">
        <v>1.6845</v>
      </c>
      <c r="H190" s="12" t="n">
        <v>1.5827</v>
      </c>
      <c r="I190" s="18" t="inlineStr">
        <is>
          <t>Z</t>
        </is>
      </c>
      <c r="J190" s="18" t="inlineStr">
        <is>
          <t>CZ</t>
        </is>
      </c>
      <c r="K190" s="20" t="inlineStr">
        <is>
          <t>Make-to-Order / Rationalization Candidate | Zero/Near-Zero Safety Stock</t>
        </is>
      </c>
    </row>
    <row r="191">
      <c r="B191" s="9" t="inlineStr">
        <is>
          <t>FOODS_1_093</t>
        </is>
      </c>
      <c r="C191" s="10" t="n">
        <v>1985.68</v>
      </c>
      <c r="D191" s="13" t="n">
        <v>0.961</v>
      </c>
      <c r="E191" s="18" t="inlineStr">
        <is>
          <t>C</t>
        </is>
      </c>
      <c r="F191" s="12" t="n">
        <v>0.1945</v>
      </c>
      <c r="G191" s="12" t="n">
        <v>0.6237</v>
      </c>
      <c r="H191" s="12" t="n">
        <v>3.2067</v>
      </c>
      <c r="I191" s="18" t="inlineStr">
        <is>
          <t>Z</t>
        </is>
      </c>
      <c r="J191" s="18" t="inlineStr">
        <is>
          <t>CZ</t>
        </is>
      </c>
      <c r="K191" s="20" t="inlineStr">
        <is>
          <t>Make-to-Order / Rationalization Candidate | Zero/Near-Zero Safety Stock</t>
        </is>
      </c>
    </row>
    <row r="192">
      <c r="B192" s="9" t="inlineStr">
        <is>
          <t>FOODS_1_097</t>
        </is>
      </c>
      <c r="C192" s="10" t="n">
        <v>1979.6</v>
      </c>
      <c r="D192" s="13" t="n">
        <v>0.9625</v>
      </c>
      <c r="E192" s="18" t="inlineStr">
        <is>
          <t>C</t>
        </is>
      </c>
      <c r="F192" s="12" t="n">
        <v>1.0559</v>
      </c>
      <c r="G192" s="12" t="n">
        <v>1.6829</v>
      </c>
      <c r="H192" s="12" t="n">
        <v>1.5938</v>
      </c>
      <c r="I192" s="18" t="inlineStr">
        <is>
          <t>Z</t>
        </is>
      </c>
      <c r="J192" s="18" t="inlineStr">
        <is>
          <t>CZ</t>
        </is>
      </c>
      <c r="K192" s="20" t="inlineStr">
        <is>
          <t>Make-to-Order / Rationalization Candidate | Zero/Near-Zero Safety Stock</t>
        </is>
      </c>
    </row>
    <row r="193">
      <c r="B193" s="9" t="inlineStr">
        <is>
          <t>FOODS_1_017</t>
        </is>
      </c>
      <c r="C193" s="10" t="n">
        <v>1950.14</v>
      </c>
      <c r="D193" s="13" t="n">
        <v>0.9640000000000001</v>
      </c>
      <c r="E193" s="18" t="inlineStr">
        <is>
          <t>C</t>
        </is>
      </c>
      <c r="F193" s="12" t="n">
        <v>0.4417</v>
      </c>
      <c r="G193" s="12" t="n">
        <v>1.1552</v>
      </c>
      <c r="H193" s="12" t="n">
        <v>2.6153</v>
      </c>
      <c r="I193" s="18" t="inlineStr">
        <is>
          <t>Z</t>
        </is>
      </c>
      <c r="J193" s="18" t="inlineStr">
        <is>
          <t>CZ</t>
        </is>
      </c>
      <c r="K193" s="20" t="inlineStr">
        <is>
          <t>Make-to-Order / Rationalization Candidate | Zero/Near-Zero Safety Stock</t>
        </is>
      </c>
    </row>
    <row r="194">
      <c r="B194" s="9" t="inlineStr">
        <is>
          <t>FOODS_1_135</t>
        </is>
      </c>
      <c r="C194" s="10" t="n">
        <v>1946.38</v>
      </c>
      <c r="D194" s="13" t="n">
        <v>0.9655</v>
      </c>
      <c r="E194" s="18" t="inlineStr">
        <is>
          <t>C</t>
        </is>
      </c>
      <c r="F194" s="12" t="n">
        <v>0.4083</v>
      </c>
      <c r="G194" s="12" t="n">
        <v>0.98</v>
      </c>
      <c r="H194" s="12" t="n">
        <v>2.4002</v>
      </c>
      <c r="I194" s="18" t="inlineStr">
        <is>
          <t>Z</t>
        </is>
      </c>
      <c r="J194" s="18" t="inlineStr">
        <is>
          <t>CZ</t>
        </is>
      </c>
      <c r="K194" s="20" t="inlineStr">
        <is>
          <t>Make-to-Order / Rationalization Candidate | Zero/Near-Zero Safety Stock</t>
        </is>
      </c>
    </row>
    <row r="195">
      <c r="B195" s="9" t="inlineStr">
        <is>
          <t>FOODS_1_202</t>
        </is>
      </c>
      <c r="C195" s="10" t="n">
        <v>1892.38</v>
      </c>
      <c r="D195" s="13" t="n">
        <v>0.9669</v>
      </c>
      <c r="E195" s="18" t="inlineStr">
        <is>
          <t>C</t>
        </is>
      </c>
      <c r="F195" s="12" t="n">
        <v>1.0094</v>
      </c>
      <c r="G195" s="12" t="n">
        <v>1.8221</v>
      </c>
      <c r="H195" s="12" t="n">
        <v>1.8051</v>
      </c>
      <c r="I195" s="18" t="inlineStr">
        <is>
          <t>Z</t>
        </is>
      </c>
      <c r="J195" s="18" t="inlineStr">
        <is>
          <t>CZ</t>
        </is>
      </c>
      <c r="K195" s="20" t="inlineStr">
        <is>
          <t>Make-to-Order / Rationalization Candidate | Zero/Near-Zero Safety Stock</t>
        </is>
      </c>
    </row>
    <row r="196">
      <c r="B196" s="9" t="inlineStr">
        <is>
          <t>FOODS_1_111</t>
        </is>
      </c>
      <c r="C196" s="10" t="n">
        <v>1889.68</v>
      </c>
      <c r="D196" s="13" t="n">
        <v>0.9684</v>
      </c>
      <c r="E196" s="18" t="inlineStr">
        <is>
          <t>C</t>
        </is>
      </c>
      <c r="F196" s="12" t="n">
        <v>0.1652</v>
      </c>
      <c r="G196" s="12" t="n">
        <v>0.5123</v>
      </c>
      <c r="H196" s="12" t="n">
        <v>3.1011</v>
      </c>
      <c r="I196" s="18" t="inlineStr">
        <is>
          <t>Z</t>
        </is>
      </c>
      <c r="J196" s="18" t="inlineStr">
        <is>
          <t>CZ</t>
        </is>
      </c>
      <c r="K196" s="20" t="inlineStr">
        <is>
          <t>Make-to-Order / Rationalization Candidate | Zero/Near-Zero Safety Stock</t>
        </is>
      </c>
    </row>
    <row r="197">
      <c r="B197" s="9" t="inlineStr">
        <is>
          <t>FOODS_1_191</t>
        </is>
      </c>
      <c r="C197" s="10" t="n">
        <v>1873.68</v>
      </c>
      <c r="D197" s="13" t="n">
        <v>0.9698</v>
      </c>
      <c r="E197" s="18" t="inlineStr">
        <is>
          <t>C</t>
        </is>
      </c>
      <c r="F197" s="12" t="n">
        <v>0.1835</v>
      </c>
      <c r="G197" s="12" t="n">
        <v>0.5317</v>
      </c>
      <c r="H197" s="12" t="n">
        <v>2.8975</v>
      </c>
      <c r="I197" s="18" t="inlineStr">
        <is>
          <t>Z</t>
        </is>
      </c>
      <c r="J197" s="18" t="inlineStr">
        <is>
          <t>CZ</t>
        </is>
      </c>
      <c r="K197" s="20" t="inlineStr">
        <is>
          <t>Make-to-Order / Rationalization Candidate | Zero/Near-Zero Safety Stock</t>
        </is>
      </c>
    </row>
    <row r="198">
      <c r="B198" s="9" t="inlineStr">
        <is>
          <t>FOODS_1_107</t>
        </is>
      </c>
      <c r="C198" s="10" t="n">
        <v>1804.65</v>
      </c>
      <c r="D198" s="13" t="n">
        <v>0.9712000000000001</v>
      </c>
      <c r="E198" s="18" t="inlineStr">
        <is>
          <t>C</t>
        </is>
      </c>
      <c r="F198" s="12" t="n">
        <v>0.1725</v>
      </c>
      <c r="G198" s="12" t="n">
        <v>0.6192</v>
      </c>
      <c r="H198" s="12" t="n">
        <v>3.5896</v>
      </c>
      <c r="I198" s="18" t="inlineStr">
        <is>
          <t>Z</t>
        </is>
      </c>
      <c r="J198" s="18" t="inlineStr">
        <is>
          <t>CZ</t>
        </is>
      </c>
      <c r="K198" s="20" t="inlineStr">
        <is>
          <t>Make-to-Order / Rationalization Candidate | Zero/Near-Zero Safety Stock</t>
        </is>
      </c>
    </row>
    <row r="199">
      <c r="B199" s="9" t="inlineStr">
        <is>
          <t>FOODS_1_078</t>
        </is>
      </c>
      <c r="C199" s="10" t="n">
        <v>1803.76</v>
      </c>
      <c r="D199" s="13" t="n">
        <v>0.9726</v>
      </c>
      <c r="E199" s="18" t="inlineStr">
        <is>
          <t>C</t>
        </is>
      </c>
      <c r="F199" s="12" t="n">
        <v>0.2812</v>
      </c>
      <c r="G199" s="12" t="n">
        <v>0.7587</v>
      </c>
      <c r="H199" s="12" t="n">
        <v>2.6981</v>
      </c>
      <c r="I199" s="18" t="inlineStr">
        <is>
          <t>Z</t>
        </is>
      </c>
      <c r="J199" s="18" t="inlineStr">
        <is>
          <t>CZ</t>
        </is>
      </c>
      <c r="K199" s="20" t="inlineStr">
        <is>
          <t>Make-to-Order / Rationalization Candidate | Zero/Near-Zero Safety Stock</t>
        </is>
      </c>
    </row>
    <row r="200">
      <c r="B200" s="9" t="inlineStr">
        <is>
          <t>FOODS_1_010</t>
        </is>
      </c>
      <c r="C200" s="10" t="n">
        <v>1708.51</v>
      </c>
      <c r="D200" s="13" t="n">
        <v>0.9739</v>
      </c>
      <c r="E200" s="18" t="inlineStr">
        <is>
          <t>C</t>
        </is>
      </c>
      <c r="F200" s="12" t="n">
        <v>0.1662</v>
      </c>
      <c r="G200" s="12" t="n">
        <v>0.5579</v>
      </c>
      <c r="H200" s="12" t="n">
        <v>3.3568</v>
      </c>
      <c r="I200" s="18" t="inlineStr">
        <is>
          <t>Z</t>
        </is>
      </c>
      <c r="J200" s="18" t="inlineStr">
        <is>
          <t>CZ</t>
        </is>
      </c>
      <c r="K200" s="20" t="inlineStr">
        <is>
          <t>Make-to-Order / Rationalization Candidate | Zero/Near-Zero Safety Stock</t>
        </is>
      </c>
    </row>
    <row r="201">
      <c r="B201" s="9" t="inlineStr">
        <is>
          <t>FOODS_1_121</t>
        </is>
      </c>
      <c r="C201" s="10" t="n">
        <v>1701.48</v>
      </c>
      <c r="D201" s="13" t="n">
        <v>0.9752</v>
      </c>
      <c r="E201" s="18" t="inlineStr">
        <is>
          <t>C</t>
        </is>
      </c>
      <c r="F201" s="12" t="n">
        <v>0.7219</v>
      </c>
      <c r="G201" s="12" t="n">
        <v>1.3472</v>
      </c>
      <c r="H201" s="12" t="n">
        <v>1.8662</v>
      </c>
      <c r="I201" s="18" t="inlineStr">
        <is>
          <t>Z</t>
        </is>
      </c>
      <c r="J201" s="18" t="inlineStr">
        <is>
          <t>CZ</t>
        </is>
      </c>
      <c r="K201" s="20" t="inlineStr">
        <is>
          <t>Make-to-Order / Rationalization Candidate | Zero/Near-Zero Safety Stock</t>
        </is>
      </c>
    </row>
    <row r="202">
      <c r="B202" s="9" t="inlineStr">
        <is>
          <t>FOODS_1_211</t>
        </is>
      </c>
      <c r="C202" s="10" t="n">
        <v>1667.02</v>
      </c>
      <c r="D202" s="13" t="n">
        <v>0.9765</v>
      </c>
      <c r="E202" s="18" t="inlineStr">
        <is>
          <t>C</t>
        </is>
      </c>
      <c r="F202" s="12" t="n">
        <v>0.1605</v>
      </c>
      <c r="G202" s="12" t="n">
        <v>0.5601</v>
      </c>
      <c r="H202" s="12" t="n">
        <v>3.4897</v>
      </c>
      <c r="I202" s="18" t="inlineStr">
        <is>
          <t>Z</t>
        </is>
      </c>
      <c r="J202" s="18" t="inlineStr">
        <is>
          <t>CZ</t>
        </is>
      </c>
      <c r="K202" s="20" t="inlineStr">
        <is>
          <t>Make-to-Order / Rationalization Candidate | Zero/Near-Zero Safety Stock</t>
        </is>
      </c>
    </row>
    <row r="203">
      <c r="B203" s="9" t="inlineStr">
        <is>
          <t>FOODS_1_029</t>
        </is>
      </c>
      <c r="C203" s="10" t="n">
        <v>1661.61</v>
      </c>
      <c r="D203" s="13" t="n">
        <v>0.9777</v>
      </c>
      <c r="E203" s="18" t="inlineStr">
        <is>
          <t>C</t>
        </is>
      </c>
      <c r="F203" s="12" t="n">
        <v>0.2169</v>
      </c>
      <c r="G203" s="12" t="n">
        <v>0.5474</v>
      </c>
      <c r="H203" s="12" t="n">
        <v>2.5237</v>
      </c>
      <c r="I203" s="18" t="inlineStr">
        <is>
          <t>Z</t>
        </is>
      </c>
      <c r="J203" s="18" t="inlineStr">
        <is>
          <t>CZ</t>
        </is>
      </c>
      <c r="K203" s="20" t="inlineStr">
        <is>
          <t>Make-to-Order / Rationalization Candidate | Zero/Near-Zero Safety Stock</t>
        </is>
      </c>
    </row>
    <row r="204">
      <c r="B204" s="9" t="inlineStr">
        <is>
          <t>FOODS_1_122</t>
        </is>
      </c>
      <c r="C204" s="10" t="n">
        <v>1641.42</v>
      </c>
      <c r="D204" s="13" t="n">
        <v>0.9790000000000001</v>
      </c>
      <c r="E204" s="18" t="inlineStr">
        <is>
          <t>C</t>
        </is>
      </c>
      <c r="F204" s="12" t="n">
        <v>0.4334</v>
      </c>
      <c r="G204" s="12" t="n">
        <v>1.2324</v>
      </c>
      <c r="H204" s="12" t="n">
        <v>2.8436</v>
      </c>
      <c r="I204" s="18" t="inlineStr">
        <is>
          <t>Z</t>
        </is>
      </c>
      <c r="J204" s="18" t="inlineStr">
        <is>
          <t>CZ</t>
        </is>
      </c>
      <c r="K204" s="20" t="inlineStr">
        <is>
          <t>Make-to-Order / Rationalization Candidate | Zero/Near-Zero Safety Stock</t>
        </is>
      </c>
    </row>
    <row r="205">
      <c r="B205" s="9" t="inlineStr">
        <is>
          <t>FOODS_1_189</t>
        </is>
      </c>
      <c r="C205" s="10" t="n">
        <v>1550.07</v>
      </c>
      <c r="D205" s="13" t="n">
        <v>0.9802</v>
      </c>
      <c r="E205" s="18" t="inlineStr">
        <is>
          <t>C</t>
        </is>
      </c>
      <c r="F205" s="12" t="n">
        <v>0.3461</v>
      </c>
      <c r="G205" s="12" t="n">
        <v>1.1317</v>
      </c>
      <c r="H205" s="12" t="n">
        <v>3.2699</v>
      </c>
      <c r="I205" s="18" t="inlineStr">
        <is>
          <t>Z</t>
        </is>
      </c>
      <c r="J205" s="18" t="inlineStr">
        <is>
          <t>CZ</t>
        </is>
      </c>
      <c r="K205" s="20" t="inlineStr">
        <is>
          <t>Make-to-Order / Rationalization Candidate | Zero/Near-Zero Safety Stock</t>
        </is>
      </c>
    </row>
    <row r="206">
      <c r="B206" s="9" t="inlineStr">
        <is>
          <t>FOODS_1_008</t>
        </is>
      </c>
      <c r="C206" s="10" t="n">
        <v>1538.02</v>
      </c>
      <c r="D206" s="13" t="n">
        <v>0.9814000000000001</v>
      </c>
      <c r="E206" s="18" t="inlineStr">
        <is>
          <t>C</t>
        </is>
      </c>
      <c r="F206" s="12" t="n">
        <v>0.2331</v>
      </c>
      <c r="G206" s="12" t="n">
        <v>0.6929</v>
      </c>
      <c r="H206" s="12" t="n">
        <v>2.9725</v>
      </c>
      <c r="I206" s="18" t="inlineStr">
        <is>
          <t>Z</t>
        </is>
      </c>
      <c r="J206" s="18" t="inlineStr">
        <is>
          <t>CZ</t>
        </is>
      </c>
      <c r="K206" s="20" t="inlineStr">
        <is>
          <t>Make-to-Order / Rationalization Candidate | Zero/Near-Zero Safety Stock</t>
        </is>
      </c>
    </row>
    <row r="207">
      <c r="B207" s="9" t="inlineStr">
        <is>
          <t>FOODS_1_148</t>
        </is>
      </c>
      <c r="C207" s="10" t="n">
        <v>1492.76</v>
      </c>
      <c r="D207" s="13" t="n">
        <v>0.9825</v>
      </c>
      <c r="E207" s="18" t="inlineStr">
        <is>
          <t>C</t>
        </is>
      </c>
      <c r="F207" s="12" t="n">
        <v>0.1709</v>
      </c>
      <c r="G207" s="12" t="n">
        <v>0.5727</v>
      </c>
      <c r="H207" s="12" t="n">
        <v>3.3511</v>
      </c>
      <c r="I207" s="18" t="inlineStr">
        <is>
          <t>Z</t>
        </is>
      </c>
      <c r="J207" s="18" t="inlineStr">
        <is>
          <t>CZ</t>
        </is>
      </c>
      <c r="K207" s="20" t="inlineStr">
        <is>
          <t>Make-to-Order / Rationalization Candidate | Zero/Near-Zero Safety Stock</t>
        </is>
      </c>
    </row>
    <row r="208">
      <c r="B208" s="9" t="inlineStr">
        <is>
          <t>FOODS_1_179</t>
        </is>
      </c>
      <c r="C208" s="10" t="n">
        <v>1464.22</v>
      </c>
      <c r="D208" s="13" t="n">
        <v>0.9836</v>
      </c>
      <c r="E208" s="18" t="inlineStr">
        <is>
          <t>C</t>
        </is>
      </c>
      <c r="F208" s="12" t="n">
        <v>0.2138</v>
      </c>
      <c r="G208" s="12" t="n">
        <v>0.9718</v>
      </c>
      <c r="H208" s="12" t="n">
        <v>4.5454</v>
      </c>
      <c r="I208" s="18" t="inlineStr">
        <is>
          <t>Z</t>
        </is>
      </c>
      <c r="J208" s="18" t="inlineStr">
        <is>
          <t>CZ</t>
        </is>
      </c>
      <c r="K208" s="20" t="inlineStr">
        <is>
          <t>Make-to-Order / Rationalization Candidate | Zero/Near-Zero Safety Stock</t>
        </is>
      </c>
    </row>
    <row r="209">
      <c r="B209" s="9" t="inlineStr">
        <is>
          <t>FOODS_1_052</t>
        </is>
      </c>
      <c r="C209" s="10" t="n">
        <v>1446.48</v>
      </c>
      <c r="D209" s="13" t="n">
        <v>0.9847</v>
      </c>
      <c r="E209" s="18" t="inlineStr">
        <is>
          <t>C</t>
        </is>
      </c>
      <c r="F209" s="12" t="n">
        <v>0.7716</v>
      </c>
      <c r="G209" s="12" t="n">
        <v>1.3322</v>
      </c>
      <c r="H209" s="12" t="n">
        <v>1.7265</v>
      </c>
      <c r="I209" s="18" t="inlineStr">
        <is>
          <t>Z</t>
        </is>
      </c>
      <c r="J209" s="18" t="inlineStr">
        <is>
          <t>CZ</t>
        </is>
      </c>
      <c r="K209" s="20" t="inlineStr">
        <is>
          <t>Make-to-Order / Rationalization Candidate | Zero/Near-Zero Safety Stock</t>
        </is>
      </c>
    </row>
    <row r="210">
      <c r="B210" s="9" t="inlineStr">
        <is>
          <t>FOODS_1_131</t>
        </is>
      </c>
      <c r="C210" s="10" t="n">
        <v>1438.9</v>
      </c>
      <c r="D210" s="13" t="n">
        <v>0.9859</v>
      </c>
      <c r="E210" s="18" t="inlineStr">
        <is>
          <t>C</t>
        </is>
      </c>
      <c r="F210" s="12" t="n">
        <v>0.264</v>
      </c>
      <c r="G210" s="12" t="n">
        <v>0.8451</v>
      </c>
      <c r="H210" s="12" t="n">
        <v>3.2011</v>
      </c>
      <c r="I210" s="18" t="inlineStr">
        <is>
          <t>Z</t>
        </is>
      </c>
      <c r="J210" s="18" t="inlineStr">
        <is>
          <t>CZ</t>
        </is>
      </c>
      <c r="K210" s="20" t="inlineStr">
        <is>
          <t>Make-to-Order / Rationalization Candidate | Zero/Near-Zero Safety Stock</t>
        </is>
      </c>
    </row>
    <row r="211">
      <c r="B211" s="9" t="inlineStr">
        <is>
          <t>FOODS_1_126</t>
        </is>
      </c>
      <c r="C211" s="10" t="n">
        <v>1410.62</v>
      </c>
      <c r="D211" s="13" t="n">
        <v>0.9869</v>
      </c>
      <c r="E211" s="18" t="inlineStr">
        <is>
          <t>C</t>
        </is>
      </c>
      <c r="F211" s="12" t="n">
        <v>0.322</v>
      </c>
      <c r="G211" s="12" t="n">
        <v>0.8868</v>
      </c>
      <c r="H211" s="12" t="n">
        <v>2.754</v>
      </c>
      <c r="I211" s="18" t="inlineStr">
        <is>
          <t>Z</t>
        </is>
      </c>
      <c r="J211" s="18" t="inlineStr">
        <is>
          <t>CZ</t>
        </is>
      </c>
      <c r="K211" s="20" t="inlineStr">
        <is>
          <t>Make-to-Order / Rationalization Candidate | Zero/Near-Zero Safety Stock</t>
        </is>
      </c>
    </row>
    <row r="212">
      <c r="B212" s="9" t="inlineStr">
        <is>
          <t>FOODS_1_149</t>
        </is>
      </c>
      <c r="C212" s="10" t="n">
        <v>1305.36</v>
      </c>
      <c r="D212" s="13" t="n">
        <v>0.9879000000000001</v>
      </c>
      <c r="E212" s="18" t="inlineStr">
        <is>
          <t>C</t>
        </is>
      </c>
      <c r="F212" s="12" t="n">
        <v>0.6963</v>
      </c>
      <c r="G212" s="12" t="n">
        <v>1.3665</v>
      </c>
      <c r="H212" s="12" t="n">
        <v>1.9625</v>
      </c>
      <c r="I212" s="18" t="inlineStr">
        <is>
          <t>Z</t>
        </is>
      </c>
      <c r="J212" s="18" t="inlineStr">
        <is>
          <t>CZ</t>
        </is>
      </c>
      <c r="K212" s="20" t="inlineStr">
        <is>
          <t>Make-to-Order / Rationalization Candidate | Zero/Near-Zero Safety Stock</t>
        </is>
      </c>
    </row>
    <row r="213">
      <c r="B213" s="9" t="inlineStr">
        <is>
          <t>FOODS_1_118</t>
        </is>
      </c>
      <c r="C213" s="10" t="n">
        <v>1260.28</v>
      </c>
      <c r="D213" s="13" t="n">
        <v>0.9889</v>
      </c>
      <c r="E213" s="18" t="inlineStr">
        <is>
          <t>C</t>
        </is>
      </c>
      <c r="F213" s="12" t="n">
        <v>0.6722</v>
      </c>
      <c r="G213" s="12" t="n">
        <v>1.5062</v>
      </c>
      <c r="H213" s="12" t="n">
        <v>2.2407</v>
      </c>
      <c r="I213" s="18" t="inlineStr">
        <is>
          <t>Z</t>
        </is>
      </c>
      <c r="J213" s="18" t="inlineStr">
        <is>
          <t>CZ</t>
        </is>
      </c>
      <c r="K213" s="20" t="inlineStr">
        <is>
          <t>Make-to-Order / Rationalization Candidate | Zero/Near-Zero Safety Stock</t>
        </is>
      </c>
    </row>
    <row r="214">
      <c r="B214" s="9" t="inlineStr">
        <is>
          <t>FOODS_1_157</t>
        </is>
      </c>
      <c r="C214" s="10" t="n">
        <v>1259.59</v>
      </c>
      <c r="D214" s="13" t="n">
        <v>0.9899</v>
      </c>
      <c r="E214" s="18" t="inlineStr">
        <is>
          <t>C</t>
        </is>
      </c>
      <c r="F214" s="12" t="n">
        <v>0.139</v>
      </c>
      <c r="G214" s="12" t="n">
        <v>0.458</v>
      </c>
      <c r="H214" s="12" t="n">
        <v>3.295</v>
      </c>
      <c r="I214" s="18" t="inlineStr">
        <is>
          <t>Z</t>
        </is>
      </c>
      <c r="J214" s="18" t="inlineStr">
        <is>
          <t>CZ</t>
        </is>
      </c>
      <c r="K214" s="20" t="inlineStr">
        <is>
          <t>Make-to-Order / Rationalization Candidate | Zero/Near-Zero Safety Stock</t>
        </is>
      </c>
    </row>
    <row r="215">
      <c r="B215" s="9" t="inlineStr">
        <is>
          <t>FOODS_1_089</t>
        </is>
      </c>
      <c r="C215" s="10" t="n">
        <v>1242.96</v>
      </c>
      <c r="D215" s="13" t="n">
        <v>0.9908</v>
      </c>
      <c r="E215" s="18" t="inlineStr">
        <is>
          <t>C</t>
        </is>
      </c>
      <c r="F215" s="12" t="n">
        <v>0.1903</v>
      </c>
      <c r="G215" s="12" t="n">
        <v>0.5896</v>
      </c>
      <c r="H215" s="12" t="n">
        <v>3.0983</v>
      </c>
      <c r="I215" s="18" t="inlineStr">
        <is>
          <t>Z</t>
        </is>
      </c>
      <c r="J215" s="18" t="inlineStr">
        <is>
          <t>CZ</t>
        </is>
      </c>
      <c r="K215" s="20" t="inlineStr">
        <is>
          <t>Make-to-Order / Rationalization Candidate | Zero/Near-Zero Safety Stock</t>
        </is>
      </c>
    </row>
    <row r="216">
      <c r="B216" s="9" t="inlineStr">
        <is>
          <t>FOODS_1_095</t>
        </is>
      </c>
      <c r="C216" s="10" t="n">
        <v>1183.6</v>
      </c>
      <c r="D216" s="13" t="n">
        <v>0.9917</v>
      </c>
      <c r="E216" s="18" t="inlineStr">
        <is>
          <t>C</t>
        </is>
      </c>
      <c r="F216" s="12" t="n">
        <v>0.2086</v>
      </c>
      <c r="G216" s="12" t="n">
        <v>0.6966</v>
      </c>
      <c r="H216" s="12" t="n">
        <v>3.3394</v>
      </c>
      <c r="I216" s="18" t="inlineStr">
        <is>
          <t>Z</t>
        </is>
      </c>
      <c r="J216" s="18" t="inlineStr">
        <is>
          <t>CZ</t>
        </is>
      </c>
      <c r="K216" s="20" t="inlineStr">
        <is>
          <t>Make-to-Order / Rationalization Candidate | Zero/Near-Zero Safety Stock</t>
        </is>
      </c>
    </row>
    <row r="217">
      <c r="B217" s="9" t="inlineStr">
        <is>
          <t>FOODS_1_014</t>
        </is>
      </c>
      <c r="C217" s="10" t="n">
        <v>1110.34</v>
      </c>
      <c r="D217" s="13" t="n">
        <v>0.9926</v>
      </c>
      <c r="E217" s="18" t="inlineStr">
        <is>
          <t>C</t>
        </is>
      </c>
      <c r="F217" s="12" t="n">
        <v>0.5923</v>
      </c>
      <c r="G217" s="12" t="n">
        <v>1.2417</v>
      </c>
      <c r="H217" s="12" t="n">
        <v>2.0964</v>
      </c>
      <c r="I217" s="18" t="inlineStr">
        <is>
          <t>Z</t>
        </is>
      </c>
      <c r="J217" s="18" t="inlineStr">
        <is>
          <t>CZ</t>
        </is>
      </c>
      <c r="K217" s="20" t="inlineStr">
        <is>
          <t>Make-to-Order / Rationalization Candidate | Zero/Near-Zero Safety Stock</t>
        </is>
      </c>
    </row>
    <row r="218">
      <c r="B218" s="9" t="inlineStr">
        <is>
          <t>FOODS_1_164</t>
        </is>
      </c>
      <c r="C218" s="10" t="n">
        <v>1049.91</v>
      </c>
      <c r="D218" s="13" t="n">
        <v>0.9934000000000001</v>
      </c>
      <c r="E218" s="18" t="inlineStr">
        <is>
          <t>C</t>
        </is>
      </c>
      <c r="F218" s="12" t="n">
        <v>0.1025</v>
      </c>
      <c r="G218" s="12" t="n">
        <v>0.4818</v>
      </c>
      <c r="H218" s="12" t="n">
        <v>4.7005</v>
      </c>
      <c r="I218" s="18" t="inlineStr">
        <is>
          <t>Z</t>
        </is>
      </c>
      <c r="J218" s="18" t="inlineStr">
        <is>
          <t>CZ</t>
        </is>
      </c>
      <c r="K218" s="20" t="inlineStr">
        <is>
          <t>Make-to-Order / Rationalization Candidate | Zero/Near-Zero Safety Stock</t>
        </is>
      </c>
    </row>
    <row r="219">
      <c r="B219" s="9" t="inlineStr">
        <is>
          <t>FOODS_1_159</t>
        </is>
      </c>
      <c r="C219" s="10" t="n">
        <v>1034</v>
      </c>
      <c r="D219" s="13" t="n">
        <v>0.9942</v>
      </c>
      <c r="E219" s="18" t="inlineStr">
        <is>
          <t>C</t>
        </is>
      </c>
      <c r="F219" s="12" t="n">
        <v>0.1145</v>
      </c>
      <c r="G219" s="12" t="n">
        <v>0.4065</v>
      </c>
      <c r="H219" s="12" t="n">
        <v>3.5502</v>
      </c>
      <c r="I219" s="18" t="inlineStr">
        <is>
          <t>Z</t>
        </is>
      </c>
      <c r="J219" s="18" t="inlineStr">
        <is>
          <t>CZ</t>
        </is>
      </c>
      <c r="K219" s="20" t="inlineStr">
        <is>
          <t>Make-to-Order / Rationalization Candidate | Zero/Near-Zero Safety Stock</t>
        </is>
      </c>
    </row>
    <row r="220">
      <c r="B220" s="9" t="inlineStr">
        <is>
          <t>FOODS_1_070</t>
        </is>
      </c>
      <c r="C220" s="10" t="n">
        <v>1032.92</v>
      </c>
      <c r="D220" s="13" t="n">
        <v>0.995</v>
      </c>
      <c r="E220" s="18" t="inlineStr">
        <is>
          <t>C</t>
        </is>
      </c>
      <c r="F220" s="12" t="n">
        <v>0.551</v>
      </c>
      <c r="G220" s="12" t="n">
        <v>1.3338</v>
      </c>
      <c r="H220" s="12" t="n">
        <v>2.4207</v>
      </c>
      <c r="I220" s="18" t="inlineStr">
        <is>
          <t>Z</t>
        </is>
      </c>
      <c r="J220" s="18" t="inlineStr">
        <is>
          <t>CZ</t>
        </is>
      </c>
      <c r="K220" s="20" t="inlineStr">
        <is>
          <t>Make-to-Order / Rationalization Candidate | Zero/Near-Zero Safety Stock</t>
        </is>
      </c>
    </row>
    <row r="221">
      <c r="B221" s="9" t="inlineStr">
        <is>
          <t>FOODS_1_056</t>
        </is>
      </c>
      <c r="C221" s="10" t="n">
        <v>1016.96</v>
      </c>
      <c r="D221" s="13" t="n">
        <v>0.9958</v>
      </c>
      <c r="E221" s="18" t="inlineStr">
        <is>
          <t>C</t>
        </is>
      </c>
      <c r="F221" s="12" t="n">
        <v>0.2373</v>
      </c>
      <c r="G221" s="12" t="n">
        <v>0.6669</v>
      </c>
      <c r="H221" s="12" t="n">
        <v>2.8104</v>
      </c>
      <c r="I221" s="18" t="inlineStr">
        <is>
          <t>Z</t>
        </is>
      </c>
      <c r="J221" s="18" t="inlineStr">
        <is>
          <t>CZ</t>
        </is>
      </c>
      <c r="K221" s="20" t="inlineStr">
        <is>
          <t>Make-to-Order / Rationalization Candidate | Zero/Near-Zero Safety Stock</t>
        </is>
      </c>
    </row>
    <row r="222">
      <c r="B222" s="9" t="inlineStr">
        <is>
          <t>FOODS_1_060</t>
        </is>
      </c>
      <c r="C222" s="10" t="n">
        <v>997.92</v>
      </c>
      <c r="D222" s="13" t="n">
        <v>0.9965000000000001</v>
      </c>
      <c r="E222" s="18" t="inlineStr">
        <is>
          <t>C</t>
        </is>
      </c>
      <c r="F222" s="12" t="n">
        <v>0.3105</v>
      </c>
      <c r="G222" s="12" t="n">
        <v>0.798</v>
      </c>
      <c r="H222" s="12" t="n">
        <v>2.57</v>
      </c>
      <c r="I222" s="18" t="inlineStr">
        <is>
          <t>Z</t>
        </is>
      </c>
      <c r="J222" s="18" t="inlineStr">
        <is>
          <t>CZ</t>
        </is>
      </c>
      <c r="K222" s="20" t="inlineStr">
        <is>
          <t>Make-to-Order / Rationalization Candidate | Zero/Near-Zero Safety Stock</t>
        </is>
      </c>
    </row>
    <row r="223">
      <c r="B223" s="9" t="inlineStr">
        <is>
          <t>FOODS_1_057</t>
        </is>
      </c>
      <c r="C223" s="10" t="n">
        <v>993.3200000000001</v>
      </c>
      <c r="D223" s="13" t="n">
        <v>0.9973000000000001</v>
      </c>
      <c r="E223" s="18" t="inlineStr">
        <is>
          <t>C</t>
        </is>
      </c>
      <c r="F223" s="12" t="n">
        <v>0.2279</v>
      </c>
      <c r="G223" s="12" t="n">
        <v>0.6215000000000001</v>
      </c>
      <c r="H223" s="12" t="n">
        <v>2.7271</v>
      </c>
      <c r="I223" s="18" t="inlineStr">
        <is>
          <t>Z</t>
        </is>
      </c>
      <c r="J223" s="18" t="inlineStr">
        <is>
          <t>CZ</t>
        </is>
      </c>
      <c r="K223" s="20" t="inlineStr">
        <is>
          <t>Make-to-Order / Rationalization Candidate | Zero/Near-Zero Safety Stock</t>
        </is>
      </c>
    </row>
    <row r="224">
      <c r="B224" s="9" t="inlineStr">
        <is>
          <t>FOODS_1_077</t>
        </is>
      </c>
      <c r="C224" s="10" t="n">
        <v>869.6</v>
      </c>
      <c r="D224" s="13" t="n">
        <v>0.998</v>
      </c>
      <c r="E224" s="18" t="inlineStr">
        <is>
          <t>C</t>
        </is>
      </c>
      <c r="F224" s="12" t="n">
        <v>0.1469</v>
      </c>
      <c r="G224" s="12" t="n">
        <v>0.5009</v>
      </c>
      <c r="H224" s="12" t="n">
        <v>3.4098</v>
      </c>
      <c r="I224" s="18" t="inlineStr">
        <is>
          <t>Z</t>
        </is>
      </c>
      <c r="J224" s="18" t="inlineStr">
        <is>
          <t>CZ</t>
        </is>
      </c>
      <c r="K224" s="20" t="inlineStr">
        <is>
          <t>Make-to-Order / Rationalization Candidate | Zero/Near-Zero Safety Stock</t>
        </is>
      </c>
    </row>
    <row r="225">
      <c r="B225" s="9" t="inlineStr">
        <is>
          <t>FOODS_1_084</t>
        </is>
      </c>
      <c r="C225" s="10" t="n">
        <v>576.46</v>
      </c>
      <c r="D225" s="13" t="n">
        <v>0.9984000000000001</v>
      </c>
      <c r="E225" s="18" t="inlineStr">
        <is>
          <t>C</t>
        </is>
      </c>
      <c r="F225" s="12" t="n">
        <v>0.0554</v>
      </c>
      <c r="G225" s="12" t="n">
        <v>0.2765</v>
      </c>
      <c r="H225" s="12" t="n">
        <v>4.991</v>
      </c>
      <c r="I225" s="18" t="inlineStr">
        <is>
          <t>Z</t>
        </is>
      </c>
      <c r="J225" s="18" t="inlineStr">
        <is>
          <t>CZ</t>
        </is>
      </c>
      <c r="K225" s="20" t="inlineStr">
        <is>
          <t>Make-to-Order / Rationalization Candidate | Zero/Near-Zero Safety Stock</t>
        </is>
      </c>
    </row>
    <row r="226">
      <c r="B226" s="9" t="inlineStr">
        <is>
          <t>FOODS_1_022</t>
        </is>
      </c>
      <c r="C226" s="10" t="n">
        <v>569.89</v>
      </c>
      <c r="D226" s="13" t="n">
        <v>0.9987999999999999</v>
      </c>
      <c r="E226" s="18" t="inlineStr">
        <is>
          <t>C</t>
        </is>
      </c>
      <c r="F226" s="12" t="n">
        <v>0.0653</v>
      </c>
      <c r="G226" s="12" t="n">
        <v>0.29</v>
      </c>
      <c r="H226" s="12" t="n">
        <v>4.441</v>
      </c>
      <c r="I226" s="18" t="inlineStr">
        <is>
          <t>Z</t>
        </is>
      </c>
      <c r="J226" s="18" t="inlineStr">
        <is>
          <t>CZ</t>
        </is>
      </c>
      <c r="K226" s="20" t="inlineStr">
        <is>
          <t>Make-to-Order / Rationalization Candidate | Zero/Near-Zero Safety Stock</t>
        </is>
      </c>
    </row>
    <row r="227">
      <c r="B227" s="9" t="inlineStr">
        <is>
          <t>FOODS_1_098</t>
        </is>
      </c>
      <c r="C227" s="10" t="n">
        <v>559.26</v>
      </c>
      <c r="D227" s="13" t="n">
        <v>0.9993000000000001</v>
      </c>
      <c r="E227" s="18" t="inlineStr">
        <is>
          <t>C</t>
        </is>
      </c>
      <c r="F227" s="12" t="n">
        <v>0.0648</v>
      </c>
      <c r="G227" s="12" t="n">
        <v>0.3687</v>
      </c>
      <c r="H227" s="12" t="n">
        <v>5.6898</v>
      </c>
      <c r="I227" s="18" t="inlineStr">
        <is>
          <t>Z</t>
        </is>
      </c>
      <c r="J227" s="18" t="inlineStr">
        <is>
          <t>CZ</t>
        </is>
      </c>
      <c r="K227" s="20" t="inlineStr">
        <is>
          <t>Make-to-Order / Rationalization Candidate | Zero/Near-Zero Safety Stock</t>
        </is>
      </c>
    </row>
    <row r="228">
      <c r="B228" s="9" t="inlineStr">
        <is>
          <t>FOODS_1_160</t>
        </is>
      </c>
      <c r="C228" s="10" t="n">
        <v>519.6799999999999</v>
      </c>
      <c r="D228" s="13" t="n">
        <v>0.9997</v>
      </c>
      <c r="E228" s="18" t="inlineStr">
        <is>
          <t>C</t>
        </is>
      </c>
      <c r="F228" s="12" t="n">
        <v>0.1213</v>
      </c>
      <c r="G228" s="12" t="n">
        <v>0.4481</v>
      </c>
      <c r="H228" s="12" t="n">
        <v>3.6941</v>
      </c>
      <c r="I228" s="18" t="inlineStr">
        <is>
          <t>Z</t>
        </is>
      </c>
      <c r="J228" s="18" t="inlineStr">
        <is>
          <t>CZ</t>
        </is>
      </c>
      <c r="K228" s="20" t="inlineStr">
        <is>
          <t>Make-to-Order / Rationalization Candidate | Zero/Near-Zero Safety Stock</t>
        </is>
      </c>
    </row>
    <row r="229">
      <c r="B229" s="9" t="inlineStr">
        <is>
          <t>FOODS_1_079</t>
        </is>
      </c>
      <c r="C229" s="10" t="n">
        <v>446.16</v>
      </c>
      <c r="D229" s="13" t="n">
        <v>1</v>
      </c>
      <c r="E229" s="18" t="inlineStr">
        <is>
          <t>C</t>
        </is>
      </c>
      <c r="F229" s="12" t="n">
        <v>0.0429</v>
      </c>
      <c r="G229" s="12" t="n">
        <v>0.2652</v>
      </c>
      <c r="H229" s="12" t="n">
        <v>6.1818</v>
      </c>
      <c r="I229" s="18" t="inlineStr">
        <is>
          <t>Z</t>
        </is>
      </c>
      <c r="J229" s="18" t="inlineStr">
        <is>
          <t>CZ</t>
        </is>
      </c>
      <c r="K229" s="20" t="inlineStr">
        <is>
          <t>Make-to-Order / Rationalization Candidate | Zero/Near-Zero Safety Stock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0" customWidth="1" min="2" max="2"/>
    <col width="14" customWidth="1" min="3" max="3"/>
    <col width="25" customWidth="1" min="4" max="4"/>
    <col width="27" customWidth="1" min="5" max="5"/>
    <col width="19" customWidth="1" min="6" max="6"/>
    <col width="24" customWidth="1" min="7" max="7"/>
    <col width="12" customWidth="1" min="8" max="8"/>
    <col width="35" customWidth="1" min="9" max="9"/>
    <col width="33" customWidth="1" min="10" max="10"/>
    <col width="32" customWidth="1" min="11" max="11"/>
    <col width="71" customWidth="1" min="12" max="12"/>
  </cols>
  <sheetData>
    <row r="1"/>
    <row r="2">
      <c r="B2" s="5" t="inlineStr">
        <is>
          <t>28-Day Forecasting Benchmark &amp; Interactive Inventory Planning Calculator</t>
        </is>
      </c>
    </row>
    <row r="3"/>
    <row r="4">
      <c r="B4" s="6" t="inlineStr">
        <is>
          <t>1. Empirical Forecasting Model Benchmark (28-Day Holdout Period)</t>
        </is>
      </c>
    </row>
    <row r="5">
      <c r="B5" s="8" t="inlineStr">
        <is>
          <t>Forecasting Model</t>
        </is>
      </c>
      <c r="C5" s="8" t="inlineStr">
        <is>
          <t>MAE (Units)</t>
        </is>
      </c>
      <c r="D5" s="8" t="inlineStr">
        <is>
          <t>RMSE (Units)</t>
        </is>
      </c>
      <c r="E5" s="8" t="inlineStr">
        <is>
          <t>WAPE % (Accuracy Metric)</t>
        </is>
      </c>
      <c r="F5" s="8" t="inlineStr">
        <is>
          <t>Forecast Bias %</t>
        </is>
      </c>
      <c r="G5" s="8" t="inlineStr">
        <is>
          <t>Model Recommendation</t>
        </is>
      </c>
    </row>
    <row r="6">
      <c r="B6" s="16" t="inlineStr">
        <is>
          <t>28-Day Simple Moving Average</t>
        </is>
      </c>
      <c r="C6" s="21" t="n">
        <v>1.177</v>
      </c>
      <c r="D6" s="21" t="n">
        <v>2.084</v>
      </c>
      <c r="E6" s="22" t="n">
        <v>0.8881</v>
      </c>
      <c r="F6" s="23" t="n">
        <v>0.1795</v>
      </c>
      <c r="G6" s="14" t="inlineStr">
        <is>
          <t>Best Model (Selected)</t>
        </is>
      </c>
    </row>
    <row r="7">
      <c r="B7" s="16" t="inlineStr">
        <is>
          <t>7-Day Simple Moving Average</t>
        </is>
      </c>
      <c r="C7" s="21" t="n">
        <v>1.395</v>
      </c>
      <c r="D7" s="21" t="n">
        <v>2.683</v>
      </c>
      <c r="E7" s="22" t="n">
        <v>1.0526</v>
      </c>
      <c r="F7" s="23" t="n">
        <v>0.4181</v>
      </c>
      <c r="G7" s="9" t="inlineStr">
        <is>
          <t>Benchmark Comparison</t>
        </is>
      </c>
    </row>
    <row r="8">
      <c r="B8" s="16" t="inlineStr">
        <is>
          <t>Naive (7-Day Seasonal Lag)</t>
        </is>
      </c>
      <c r="C8" s="21" t="n">
        <v>1.645</v>
      </c>
      <c r="D8" s="21" t="n">
        <v>3.402</v>
      </c>
      <c r="E8" s="22" t="n">
        <v>1.2407</v>
      </c>
      <c r="F8" s="23" t="n">
        <v>0.418</v>
      </c>
      <c r="G8" s="9" t="inlineStr">
        <is>
          <t>Benchmark Comparison</t>
        </is>
      </c>
    </row>
    <row r="9">
      <c r="B9" s="16" t="inlineStr">
        <is>
          <t>Holt-Winters Exponential Smoothing</t>
        </is>
      </c>
      <c r="C9" s="21" t="n">
        <v>1.742</v>
      </c>
      <c r="D9" s="21" t="n">
        <v>3.654</v>
      </c>
      <c r="E9" s="22" t="n">
        <v>1.3141</v>
      </c>
      <c r="F9" s="23" t="n">
        <v>0.6816</v>
      </c>
      <c r="G9" s="9" t="inlineStr">
        <is>
          <t>Benchmark Comparison</t>
        </is>
      </c>
    </row>
    <row r="10"/>
    <row r="11"/>
    <row r="12">
      <c r="B12" s="6" t="inlineStr">
        <is>
          <t>2. SKU Inventory Planning Table (Dynamic Live Excel Formulas)</t>
        </is>
      </c>
    </row>
    <row r="13">
      <c r="B13" s="2" t="inlineStr">
        <is>
          <t>Formulas: Lead-Time Demand = ADD * Lead_Time | Safety Stock = Z * StdDev * SQRT(Lead_Time) | Reorder Point = LTD + SS</t>
        </is>
      </c>
    </row>
    <row r="14">
      <c r="B14" s="24" t="inlineStr">
        <is>
          <t>Item ID</t>
        </is>
      </c>
      <c r="C14" s="24" t="inlineStr">
        <is>
          <t>ABC Class</t>
        </is>
      </c>
      <c r="D14" s="24" t="inlineStr">
        <is>
          <t>Avg Daily Demand (ADD)</t>
        </is>
      </c>
      <c r="E14" s="24" t="inlineStr">
        <is>
          <t>Std Dev Demand</t>
        </is>
      </c>
      <c r="F14" s="24" t="inlineStr">
        <is>
          <t>Lead Time (Days)</t>
        </is>
      </c>
      <c r="G14" s="24" t="inlineStr">
        <is>
          <t>Target Service Level</t>
        </is>
      </c>
      <c r="H14" s="24" t="inlineStr">
        <is>
          <t>Z-Score</t>
        </is>
      </c>
      <c r="I14" s="24" t="inlineStr">
        <is>
          <t>Lead-Time Demand (LTD) [Formula]</t>
        </is>
      </c>
      <c r="J14" s="24" t="inlineStr">
        <is>
          <t>Safety Stock (Units) [Formula]</t>
        </is>
      </c>
      <c r="K14" s="24" t="inlineStr">
        <is>
          <t>Reorder Point (ROP) [Formula]</t>
        </is>
      </c>
      <c r="L14" s="24" t="inlineStr">
        <is>
          <t>Replenishment Action</t>
        </is>
      </c>
    </row>
    <row r="15">
      <c r="B15" s="9" t="inlineStr">
        <is>
          <t>FOODS_1_218</t>
        </is>
      </c>
      <c r="C15" s="18" t="inlineStr">
        <is>
          <t>A</t>
        </is>
      </c>
      <c r="D15" s="12" t="n">
        <v>11.7026</v>
      </c>
      <c r="E15" s="12" t="n">
        <v>9.3254</v>
      </c>
      <c r="F15" s="9" t="n">
        <v>7</v>
      </c>
      <c r="G15" s="25" t="n">
        <v>0.95</v>
      </c>
      <c r="H15" s="26" t="n">
        <v>1.65</v>
      </c>
      <c r="I15" s="12">
        <f>ROUND(D15*F15, 2)</f>
        <v/>
      </c>
      <c r="J15" s="27">
        <f>ROUND(H15*E15*SQRT(F15), 2)</f>
        <v/>
      </c>
      <c r="K15" s="27">
        <f>ROUND(I15+J15, 2)</f>
        <v/>
      </c>
      <c r="L15" s="20" t="inlineStr">
        <is>
          <t>Continuous Review (Weekly Reorder Trigger) | High Service Level 95%</t>
        </is>
      </c>
    </row>
    <row r="16">
      <c r="B16" s="9" t="inlineStr">
        <is>
          <t>FOODS_1_085</t>
        </is>
      </c>
      <c r="C16" s="18" t="inlineStr">
        <is>
          <t>A</t>
        </is>
      </c>
      <c r="D16" s="12" t="n">
        <v>10.6419</v>
      </c>
      <c r="E16" s="12" t="n">
        <v>6.9478</v>
      </c>
      <c r="F16" s="9" t="n">
        <v>7</v>
      </c>
      <c r="G16" s="25" t="n">
        <v>0.95</v>
      </c>
      <c r="H16" s="26" t="n">
        <v>1.65</v>
      </c>
      <c r="I16" s="12">
        <f>ROUND(D16*F16, 2)</f>
        <v/>
      </c>
      <c r="J16" s="27">
        <f>ROUND(H16*E16*SQRT(F16), 2)</f>
        <v/>
      </c>
      <c r="K16" s="27">
        <f>ROUND(I16+J16, 2)</f>
        <v/>
      </c>
      <c r="L16" s="20" t="inlineStr">
        <is>
          <t>Continuous Review (Weekly Reorder Trigger) | High Service Level 95%</t>
        </is>
      </c>
    </row>
    <row r="17">
      <c r="B17" s="9" t="inlineStr">
        <is>
          <t>FOODS_1_018</t>
        </is>
      </c>
      <c r="C17" s="18" t="inlineStr">
        <is>
          <t>A</t>
        </is>
      </c>
      <c r="D17" s="12" t="n">
        <v>9.706200000000001</v>
      </c>
      <c r="E17" s="12" t="n">
        <v>6.544</v>
      </c>
      <c r="F17" s="9" t="n">
        <v>7</v>
      </c>
      <c r="G17" s="25" t="n">
        <v>0.95</v>
      </c>
      <c r="H17" s="26" t="n">
        <v>1.65</v>
      </c>
      <c r="I17" s="12">
        <f>ROUND(D17*F17, 2)</f>
        <v/>
      </c>
      <c r="J17" s="27">
        <f>ROUND(H17*E17*SQRT(F17), 2)</f>
        <v/>
      </c>
      <c r="K17" s="27">
        <f>ROUND(I17+J17, 2)</f>
        <v/>
      </c>
      <c r="L17" s="20" t="inlineStr">
        <is>
          <t>Continuous Review (Weekly Reorder Trigger) | High Service Level 95%</t>
        </is>
      </c>
    </row>
    <row r="18">
      <c r="B18" s="9" t="inlineStr">
        <is>
          <t>FOODS_1_161</t>
        </is>
      </c>
      <c r="C18" s="18" t="inlineStr">
        <is>
          <t>A</t>
        </is>
      </c>
      <c r="D18" s="12" t="n">
        <v>8.786199999999999</v>
      </c>
      <c r="E18" s="12" t="n">
        <v>6.9433</v>
      </c>
      <c r="F18" s="9" t="n">
        <v>7</v>
      </c>
      <c r="G18" s="25" t="n">
        <v>0.95</v>
      </c>
      <c r="H18" s="26" t="n">
        <v>1.65</v>
      </c>
      <c r="I18" s="12">
        <f>ROUND(D18*F18, 2)</f>
        <v/>
      </c>
      <c r="J18" s="27">
        <f>ROUND(H18*E18*SQRT(F18), 2)</f>
        <v/>
      </c>
      <c r="K18" s="27">
        <f>ROUND(I18+J18, 2)</f>
        <v/>
      </c>
      <c r="L18" s="20" t="inlineStr">
        <is>
          <t>Continuous Review (Weekly Reorder Trigger) | High Service Level 95%</t>
        </is>
      </c>
    </row>
    <row r="19">
      <c r="B19" s="9" t="inlineStr">
        <is>
          <t>FOODS_1_004</t>
        </is>
      </c>
      <c r="C19" s="18" t="inlineStr">
        <is>
          <t>A</t>
        </is>
      </c>
      <c r="D19" s="12" t="n">
        <v>8.2577</v>
      </c>
      <c r="E19" s="12" t="n">
        <v>8.866199999999999</v>
      </c>
      <c r="F19" s="9" t="n">
        <v>7</v>
      </c>
      <c r="G19" s="25" t="n">
        <v>0.95</v>
      </c>
      <c r="H19" s="26" t="n">
        <v>1.65</v>
      </c>
      <c r="I19" s="12">
        <f>ROUND(D19*F19, 2)</f>
        <v/>
      </c>
      <c r="J19" s="27">
        <f>ROUND(H19*E19*SQRT(F19), 2)</f>
        <v/>
      </c>
      <c r="K19" s="27">
        <f>ROUND(I19+J19, 2)</f>
        <v/>
      </c>
      <c r="L19" s="20" t="inlineStr">
        <is>
          <t>Bi-Weekly Review + Safety Buffer | Monitor Demand Spikes Closely</t>
        </is>
      </c>
    </row>
    <row r="20">
      <c r="B20" s="9" t="inlineStr">
        <is>
          <t>FOODS_1_032</t>
        </is>
      </c>
      <c r="C20" s="18" t="inlineStr">
        <is>
          <t>A</t>
        </is>
      </c>
      <c r="D20" s="12" t="n">
        <v>7.7109</v>
      </c>
      <c r="E20" s="12" t="n">
        <v>8.7501</v>
      </c>
      <c r="F20" s="9" t="n">
        <v>7</v>
      </c>
      <c r="G20" s="25" t="n">
        <v>0.95</v>
      </c>
      <c r="H20" s="26" t="n">
        <v>1.65</v>
      </c>
      <c r="I20" s="12">
        <f>ROUND(D20*F20, 2)</f>
        <v/>
      </c>
      <c r="J20" s="27">
        <f>ROUND(H20*E20*SQRT(F20), 2)</f>
        <v/>
      </c>
      <c r="K20" s="27">
        <f>ROUND(I20+J20, 2)</f>
        <v/>
      </c>
      <c r="L20" s="20" t="inlineStr">
        <is>
          <t>Bi-Weekly Review + Safety Buffer | Monitor Demand Spikes Closely</t>
        </is>
      </c>
    </row>
    <row r="21">
      <c r="B21" s="9" t="inlineStr">
        <is>
          <t>FOODS_1_046</t>
        </is>
      </c>
      <c r="C21" s="18" t="inlineStr">
        <is>
          <t>A</t>
        </is>
      </c>
      <c r="D21" s="12" t="n">
        <v>7.1302</v>
      </c>
      <c r="E21" s="12" t="n">
        <v>5.7704</v>
      </c>
      <c r="F21" s="9" t="n">
        <v>7</v>
      </c>
      <c r="G21" s="25" t="n">
        <v>0.95</v>
      </c>
      <c r="H21" s="26" t="n">
        <v>1.65</v>
      </c>
      <c r="I21" s="12">
        <f>ROUND(D21*F21, 2)</f>
        <v/>
      </c>
      <c r="J21" s="27">
        <f>ROUND(H21*E21*SQRT(F21), 2)</f>
        <v/>
      </c>
      <c r="K21" s="27">
        <f>ROUND(I21+J21, 2)</f>
        <v/>
      </c>
      <c r="L21" s="20" t="inlineStr">
        <is>
          <t>Continuous Review (Weekly Reorder Trigger) | High Service Level 95%</t>
        </is>
      </c>
    </row>
    <row r="22">
      <c r="B22" s="9" t="inlineStr">
        <is>
          <t>FOODS_1_099</t>
        </is>
      </c>
      <c r="C22" s="18" t="inlineStr">
        <is>
          <t>A</t>
        </is>
      </c>
      <c r="D22" s="12" t="n">
        <v>6.8082</v>
      </c>
      <c r="E22" s="12" t="n">
        <v>8.034700000000001</v>
      </c>
      <c r="F22" s="9" t="n">
        <v>7</v>
      </c>
      <c r="G22" s="25" t="n">
        <v>0.95</v>
      </c>
      <c r="H22" s="26" t="n">
        <v>1.65</v>
      </c>
      <c r="I22" s="12">
        <f>ROUND(D22*F22, 2)</f>
        <v/>
      </c>
      <c r="J22" s="27">
        <f>ROUND(H22*E22*SQRT(F22), 2)</f>
        <v/>
      </c>
      <c r="K22" s="27">
        <f>ROUND(I22+J22, 2)</f>
        <v/>
      </c>
      <c r="L22" s="20" t="inlineStr">
        <is>
          <t>Bi-Weekly Review + Safety Buffer | Monitor Demand Spikes Closely</t>
        </is>
      </c>
    </row>
    <row r="23">
      <c r="B23" s="9" t="inlineStr">
        <is>
          <t>FOODS_1_043</t>
        </is>
      </c>
      <c r="C23" s="18" t="inlineStr">
        <is>
          <t>A</t>
        </is>
      </c>
      <c r="D23" s="12" t="n">
        <v>6.5954</v>
      </c>
      <c r="E23" s="12" t="n">
        <v>6.5966</v>
      </c>
      <c r="F23" s="9" t="n">
        <v>7</v>
      </c>
      <c r="G23" s="25" t="n">
        <v>0.95</v>
      </c>
      <c r="H23" s="26" t="n">
        <v>1.65</v>
      </c>
      <c r="I23" s="12">
        <f>ROUND(D23*F23, 2)</f>
        <v/>
      </c>
      <c r="J23" s="27">
        <f>ROUND(H23*E23*SQRT(F23), 2)</f>
        <v/>
      </c>
      <c r="K23" s="27">
        <f>ROUND(I23+J23, 2)</f>
        <v/>
      </c>
      <c r="L23" s="20" t="inlineStr">
        <is>
          <t>Bi-Weekly Review + Safety Buffer | Monitor Demand Spikes Closely</t>
        </is>
      </c>
    </row>
    <row r="24">
      <c r="B24" s="9" t="inlineStr">
        <is>
          <t>FOODS_1_086</t>
        </is>
      </c>
      <c r="C24" s="18" t="inlineStr">
        <is>
          <t>A</t>
        </is>
      </c>
      <c r="D24" s="12" t="n">
        <v>5.5321</v>
      </c>
      <c r="E24" s="12" t="n">
        <v>4.4389</v>
      </c>
      <c r="F24" s="9" t="n">
        <v>7</v>
      </c>
      <c r="G24" s="25" t="n">
        <v>0.95</v>
      </c>
      <c r="H24" s="26" t="n">
        <v>1.65</v>
      </c>
      <c r="I24" s="12">
        <f>ROUND(D24*F24, 2)</f>
        <v/>
      </c>
      <c r="J24" s="27">
        <f>ROUND(H24*E24*SQRT(F24), 2)</f>
        <v/>
      </c>
      <c r="K24" s="27">
        <f>ROUND(I24+J24, 2)</f>
        <v/>
      </c>
      <c r="L24" s="20" t="inlineStr">
        <is>
          <t>Continuous Review (Weekly Reorder Trigger) | High Service Level 95%</t>
        </is>
      </c>
    </row>
    <row r="25">
      <c r="B25" s="9" t="inlineStr">
        <is>
          <t>FOODS_1_110</t>
        </is>
      </c>
      <c r="C25" s="18" t="inlineStr">
        <is>
          <t>A</t>
        </is>
      </c>
      <c r="D25" s="12" t="n">
        <v>4.7465</v>
      </c>
      <c r="E25" s="12" t="n">
        <v>5.2992</v>
      </c>
      <c r="F25" s="9" t="n">
        <v>7</v>
      </c>
      <c r="G25" s="25" t="n">
        <v>0.95</v>
      </c>
      <c r="H25" s="26" t="n">
        <v>1.65</v>
      </c>
      <c r="I25" s="12">
        <f>ROUND(D25*F25, 2)</f>
        <v/>
      </c>
      <c r="J25" s="27">
        <f>ROUND(H25*E25*SQRT(F25), 2)</f>
        <v/>
      </c>
      <c r="K25" s="27">
        <f>ROUND(I25+J25, 2)</f>
        <v/>
      </c>
      <c r="L25" s="20" t="inlineStr">
        <is>
          <t>Bi-Weekly Review + Safety Buffer | Monitor Demand Spikes Closely</t>
        </is>
      </c>
    </row>
    <row r="26">
      <c r="B26" s="9" t="inlineStr">
        <is>
          <t>FOODS_1_019</t>
        </is>
      </c>
      <c r="C26" s="18" t="inlineStr">
        <is>
          <t>A</t>
        </is>
      </c>
      <c r="D26" s="12" t="n">
        <v>4.0523</v>
      </c>
      <c r="E26" s="12" t="n">
        <v>5.2549</v>
      </c>
      <c r="F26" s="9" t="n">
        <v>7</v>
      </c>
      <c r="G26" s="25" t="n">
        <v>0.95</v>
      </c>
      <c r="H26" s="26" t="n">
        <v>1.65</v>
      </c>
      <c r="I26" s="12">
        <f>ROUND(D26*F26, 2)</f>
        <v/>
      </c>
      <c r="J26" s="27">
        <f>ROUND(H26*E26*SQRT(F26), 2)</f>
        <v/>
      </c>
      <c r="K26" s="27">
        <f>ROUND(I26+J26, 2)</f>
        <v/>
      </c>
      <c r="L26" s="20" t="inlineStr">
        <is>
          <t>Bi-Weekly Review + Safety Buffer | Monitor Demand Spikes Closely</t>
        </is>
      </c>
    </row>
    <row r="27">
      <c r="B27" s="9" t="inlineStr">
        <is>
          <t>FOODS_1_021</t>
        </is>
      </c>
      <c r="C27" s="18" t="inlineStr">
        <is>
          <t>A</t>
        </is>
      </c>
      <c r="D27" s="12" t="n">
        <v>3.8092</v>
      </c>
      <c r="E27" s="12" t="n">
        <v>6.5088</v>
      </c>
      <c r="F27" s="9" t="n">
        <v>7</v>
      </c>
      <c r="G27" s="25" t="n">
        <v>0.95</v>
      </c>
      <c r="H27" s="26" t="n">
        <v>1.65</v>
      </c>
      <c r="I27" s="12">
        <f>ROUND(D27*F27, 2)</f>
        <v/>
      </c>
      <c r="J27" s="27">
        <f>ROUND(H27*E27*SQRT(F27), 2)</f>
        <v/>
      </c>
      <c r="K27" s="27">
        <f>ROUND(I27+J27, 2)</f>
        <v/>
      </c>
      <c r="L27" s="20" t="inlineStr">
        <is>
          <t>Bi-Weekly Review + Safety Buffer | Monitor Demand Spikes Closely</t>
        </is>
      </c>
    </row>
    <row r="28">
      <c r="B28" s="9" t="inlineStr">
        <is>
          <t>FOODS_1_162</t>
        </is>
      </c>
      <c r="C28" s="18" t="inlineStr">
        <is>
          <t>A</t>
        </is>
      </c>
      <c r="D28" s="12" t="n">
        <v>3.5353</v>
      </c>
      <c r="E28" s="12" t="n">
        <v>4.7288</v>
      </c>
      <c r="F28" s="9" t="n">
        <v>7</v>
      </c>
      <c r="G28" s="25" t="n">
        <v>0.95</v>
      </c>
      <c r="H28" s="26" t="n">
        <v>1.65</v>
      </c>
      <c r="I28" s="12">
        <f>ROUND(D28*F28, 2)</f>
        <v/>
      </c>
      <c r="J28" s="27">
        <f>ROUND(H28*E28*SQRT(F28), 2)</f>
        <v/>
      </c>
      <c r="K28" s="27">
        <f>ROUND(I28+J28, 2)</f>
        <v/>
      </c>
      <c r="L28" s="20" t="inlineStr">
        <is>
          <t>Bi-Weekly Review + Safety Buffer | Monitor Demand Spikes Closely</t>
        </is>
      </c>
    </row>
    <row r="29">
      <c r="B29" s="9" t="inlineStr">
        <is>
          <t>FOODS_1_173</t>
        </is>
      </c>
      <c r="C29" s="18" t="inlineStr">
        <is>
          <t>A</t>
        </is>
      </c>
      <c r="D29" s="12" t="n">
        <v>3.5107</v>
      </c>
      <c r="E29" s="12" t="n">
        <v>4.5488</v>
      </c>
      <c r="F29" s="9" t="n">
        <v>7</v>
      </c>
      <c r="G29" s="25" t="n">
        <v>0.95</v>
      </c>
      <c r="H29" s="26" t="n">
        <v>1.65</v>
      </c>
      <c r="I29" s="12">
        <f>ROUND(D29*F29, 2)</f>
        <v/>
      </c>
      <c r="J29" s="27">
        <f>ROUND(H29*E29*SQRT(F29), 2)</f>
        <v/>
      </c>
      <c r="K29" s="27">
        <f>ROUND(I29+J29, 2)</f>
        <v/>
      </c>
      <c r="L29" s="20" t="inlineStr">
        <is>
          <t>Bi-Weekly Review + Safety Buffer | Monitor Demand Spikes Closely</t>
        </is>
      </c>
    </row>
    <row r="30">
      <c r="B30" s="9" t="inlineStr">
        <is>
          <t>FOODS_1_200</t>
        </is>
      </c>
      <c r="C30" s="18" t="inlineStr">
        <is>
          <t>A</t>
        </is>
      </c>
      <c r="D30" s="12" t="n">
        <v>2.9509</v>
      </c>
      <c r="E30" s="12" t="n">
        <v>5.6803</v>
      </c>
      <c r="F30" s="9" t="n">
        <v>7</v>
      </c>
      <c r="G30" s="25" t="n">
        <v>0.95</v>
      </c>
      <c r="H30" s="26" t="n">
        <v>1.65</v>
      </c>
      <c r="I30" s="12">
        <f>ROUND(D30*F30, 2)</f>
        <v/>
      </c>
      <c r="J30" s="27">
        <f>ROUND(H30*E30*SQRT(F30), 2)</f>
        <v/>
      </c>
      <c r="K30" s="27">
        <f>ROUND(I30+J30, 2)</f>
        <v/>
      </c>
      <c r="L30" s="20" t="inlineStr">
        <is>
          <t>Bi-Weekly Review + Safety Buffer | Monitor Demand Spikes Closely</t>
        </is>
      </c>
    </row>
    <row r="31">
      <c r="B31" s="9" t="inlineStr">
        <is>
          <t>FOODS_1_058</t>
        </is>
      </c>
      <c r="C31" s="18" t="inlineStr">
        <is>
          <t>A</t>
        </is>
      </c>
      <c r="D31" s="12" t="n">
        <v>2.9404</v>
      </c>
      <c r="E31" s="12" t="n">
        <v>3.6493</v>
      </c>
      <c r="F31" s="9" t="n">
        <v>7</v>
      </c>
      <c r="G31" s="25" t="n">
        <v>0.95</v>
      </c>
      <c r="H31" s="26" t="n">
        <v>1.65</v>
      </c>
      <c r="I31" s="12">
        <f>ROUND(D31*F31, 2)</f>
        <v/>
      </c>
      <c r="J31" s="27">
        <f>ROUND(H31*E31*SQRT(F31), 2)</f>
        <v/>
      </c>
      <c r="K31" s="27">
        <f>ROUND(I31+J31, 2)</f>
        <v/>
      </c>
      <c r="L31" s="20" t="inlineStr">
        <is>
          <t>Bi-Weekly Review + Safety Buffer | Monitor Demand Spikes Closely</t>
        </is>
      </c>
    </row>
    <row r="32">
      <c r="B32" s="9" t="inlineStr">
        <is>
          <t>FOODS_1_113</t>
        </is>
      </c>
      <c r="C32" s="18" t="inlineStr">
        <is>
          <t>A</t>
        </is>
      </c>
      <c r="D32" s="12" t="n">
        <v>2.8474</v>
      </c>
      <c r="E32" s="12" t="n">
        <v>4.5943</v>
      </c>
      <c r="F32" s="9" t="n">
        <v>7</v>
      </c>
      <c r="G32" s="25" t="n">
        <v>0.95</v>
      </c>
      <c r="H32" s="26" t="n">
        <v>1.65</v>
      </c>
      <c r="I32" s="12">
        <f>ROUND(D32*F32, 2)</f>
        <v/>
      </c>
      <c r="J32" s="27">
        <f>ROUND(H32*E32*SQRT(F32), 2)</f>
        <v/>
      </c>
      <c r="K32" s="27">
        <f>ROUND(I32+J32, 2)</f>
        <v/>
      </c>
      <c r="L32" s="20" t="inlineStr">
        <is>
          <t>Bi-Weekly Review + Safety Buffer | Monitor Demand Spikes Closely</t>
        </is>
      </c>
    </row>
    <row r="33">
      <c r="B33" s="9" t="inlineStr">
        <is>
          <t>FOODS_1_206</t>
        </is>
      </c>
      <c r="C33" s="18" t="inlineStr">
        <is>
          <t>A</t>
        </is>
      </c>
      <c r="D33" s="12" t="n">
        <v>2.805</v>
      </c>
      <c r="E33" s="12" t="n">
        <v>3.4095</v>
      </c>
      <c r="F33" s="9" t="n">
        <v>7</v>
      </c>
      <c r="G33" s="25" t="n">
        <v>0.95</v>
      </c>
      <c r="H33" s="26" t="n">
        <v>1.65</v>
      </c>
      <c r="I33" s="12">
        <f>ROUND(D33*F33, 2)</f>
        <v/>
      </c>
      <c r="J33" s="27">
        <f>ROUND(H33*E33*SQRT(F33), 2)</f>
        <v/>
      </c>
      <c r="K33" s="27">
        <f>ROUND(I33+J33, 2)</f>
        <v/>
      </c>
      <c r="L33" s="20" t="inlineStr">
        <is>
          <t>Bi-Weekly Review + Safety Buffer | Monitor Demand Spikes Closely</t>
        </is>
      </c>
    </row>
    <row r="34">
      <c r="B34" s="9" t="inlineStr">
        <is>
          <t>FOODS_1_055</t>
        </is>
      </c>
      <c r="C34" s="18" t="inlineStr">
        <is>
          <t>A</t>
        </is>
      </c>
      <c r="D34" s="12" t="n">
        <v>2.793</v>
      </c>
      <c r="E34" s="12" t="n">
        <v>4.6256</v>
      </c>
      <c r="F34" s="9" t="n">
        <v>7</v>
      </c>
      <c r="G34" s="25" t="n">
        <v>0.95</v>
      </c>
      <c r="H34" s="26" t="n">
        <v>1.65</v>
      </c>
      <c r="I34" s="12">
        <f>ROUND(D34*F34, 2)</f>
        <v/>
      </c>
      <c r="J34" s="27">
        <f>ROUND(H34*E34*SQRT(F34), 2)</f>
        <v/>
      </c>
      <c r="K34" s="27">
        <f>ROUND(I34+J34, 2)</f>
        <v/>
      </c>
      <c r="L34" s="20" t="inlineStr">
        <is>
          <t>Bi-Weekly Review + Safety Buffer | Monitor Demand Spikes Closely</t>
        </is>
      </c>
    </row>
    <row r="35">
      <c r="B35" s="9" t="inlineStr">
        <is>
          <t>FOODS_1_067</t>
        </is>
      </c>
      <c r="C35" s="18" t="inlineStr">
        <is>
          <t>A</t>
        </is>
      </c>
      <c r="D35" s="12" t="n">
        <v>2.7439</v>
      </c>
      <c r="E35" s="12" t="n">
        <v>3.5434</v>
      </c>
      <c r="F35" s="9" t="n">
        <v>7</v>
      </c>
      <c r="G35" s="25" t="n">
        <v>0.95</v>
      </c>
      <c r="H35" s="26" t="n">
        <v>1.65</v>
      </c>
      <c r="I35" s="12">
        <f>ROUND(D35*F35, 2)</f>
        <v/>
      </c>
      <c r="J35" s="27">
        <f>ROUND(H35*E35*SQRT(F35), 2)</f>
        <v/>
      </c>
      <c r="K35" s="27">
        <f>ROUND(I35+J35, 2)</f>
        <v/>
      </c>
      <c r="L35" s="20" t="inlineStr">
        <is>
          <t>Bi-Weekly Review + Safety Buffer | Monitor Demand Spikes Closely</t>
        </is>
      </c>
    </row>
    <row r="36">
      <c r="B36" s="9" t="inlineStr">
        <is>
          <t>FOODS_1_012</t>
        </is>
      </c>
      <c r="C36" s="18" t="inlineStr">
        <is>
          <t>A</t>
        </is>
      </c>
      <c r="D36" s="12" t="n">
        <v>2.7245</v>
      </c>
      <c r="E36" s="12" t="n">
        <v>2.7835</v>
      </c>
      <c r="F36" s="9" t="n">
        <v>7</v>
      </c>
      <c r="G36" s="25" t="n">
        <v>0.95</v>
      </c>
      <c r="H36" s="26" t="n">
        <v>1.65</v>
      </c>
      <c r="I36" s="12">
        <f>ROUND(D36*F36, 2)</f>
        <v/>
      </c>
      <c r="J36" s="27">
        <f>ROUND(H36*E36*SQRT(F36), 2)</f>
        <v/>
      </c>
      <c r="K36" s="27">
        <f>ROUND(I36+J36, 2)</f>
        <v/>
      </c>
      <c r="L36" s="20" t="inlineStr">
        <is>
          <t>Bi-Weekly Review + Safety Buffer | Monitor Demand Spikes Closely</t>
        </is>
      </c>
    </row>
    <row r="37">
      <c r="B37" s="9" t="inlineStr">
        <is>
          <t>FOODS_1_045</t>
        </is>
      </c>
      <c r="C37" s="18" t="inlineStr">
        <is>
          <t>A</t>
        </is>
      </c>
      <c r="D37" s="12" t="n">
        <v>2.6644</v>
      </c>
      <c r="E37" s="12" t="n">
        <v>2.7249</v>
      </c>
      <c r="F37" s="9" t="n">
        <v>7</v>
      </c>
      <c r="G37" s="25" t="n">
        <v>0.95</v>
      </c>
      <c r="H37" s="26" t="n">
        <v>1.65</v>
      </c>
      <c r="I37" s="12">
        <f>ROUND(D37*F37, 2)</f>
        <v/>
      </c>
      <c r="J37" s="27">
        <f>ROUND(H37*E37*SQRT(F37), 2)</f>
        <v/>
      </c>
      <c r="K37" s="27">
        <f>ROUND(I37+J37, 2)</f>
        <v/>
      </c>
      <c r="L37" s="20" t="inlineStr">
        <is>
          <t>Bi-Weekly Review + Safety Buffer | Monitor Demand Spikes Closely</t>
        </is>
      </c>
    </row>
    <row r="38">
      <c r="B38" s="9" t="inlineStr">
        <is>
          <t>FOODS_1_183</t>
        </is>
      </c>
      <c r="C38" s="18" t="inlineStr">
        <is>
          <t>A</t>
        </is>
      </c>
      <c r="D38" s="12" t="n">
        <v>2.6116</v>
      </c>
      <c r="E38" s="12" t="n">
        <v>2.4738</v>
      </c>
      <c r="F38" s="9" t="n">
        <v>7</v>
      </c>
      <c r="G38" s="25" t="n">
        <v>0.95</v>
      </c>
      <c r="H38" s="26" t="n">
        <v>1.65</v>
      </c>
      <c r="I38" s="12">
        <f>ROUND(D38*F38, 2)</f>
        <v/>
      </c>
      <c r="J38" s="27">
        <f>ROUND(H38*E38*SQRT(F38), 2)</f>
        <v/>
      </c>
      <c r="K38" s="27">
        <f>ROUND(I38+J38, 2)</f>
        <v/>
      </c>
      <c r="L38" s="20" t="inlineStr">
        <is>
          <t>Continuous Review (Weekly Reorder Trigger) | High Service Level 95%</t>
        </is>
      </c>
    </row>
    <row r="39">
      <c r="B39" s="9" t="inlineStr">
        <is>
          <t>FOODS_1_137</t>
        </is>
      </c>
      <c r="C39" s="18" t="inlineStr">
        <is>
          <t>A</t>
        </is>
      </c>
      <c r="D39" s="12" t="n">
        <v>2.5264</v>
      </c>
      <c r="E39" s="12" t="n">
        <v>3.6509</v>
      </c>
      <c r="F39" s="9" t="n">
        <v>7</v>
      </c>
      <c r="G39" s="25" t="n">
        <v>0.95</v>
      </c>
      <c r="H39" s="26" t="n">
        <v>1.65</v>
      </c>
      <c r="I39" s="12">
        <f>ROUND(D39*F39, 2)</f>
        <v/>
      </c>
      <c r="J39" s="27">
        <f>ROUND(H39*E39*SQRT(F39), 2)</f>
        <v/>
      </c>
      <c r="K39" s="27">
        <f>ROUND(I39+J39, 2)</f>
        <v/>
      </c>
      <c r="L39" s="20" t="inlineStr">
        <is>
          <t>Bi-Weekly Review + Safety Buffer | Monitor Demand Spikes Closely</t>
        </is>
      </c>
    </row>
    <row r="40">
      <c r="B40" s="9" t="inlineStr">
        <is>
          <t>FOODS_1_170</t>
        </is>
      </c>
      <c r="C40" s="18" t="inlineStr">
        <is>
          <t>A</t>
        </is>
      </c>
      <c r="D40" s="12" t="n">
        <v>2.5123</v>
      </c>
      <c r="E40" s="12" t="n">
        <v>3.5448</v>
      </c>
      <c r="F40" s="9" t="n">
        <v>7</v>
      </c>
      <c r="G40" s="25" t="n">
        <v>0.95</v>
      </c>
      <c r="H40" s="26" t="n">
        <v>1.65</v>
      </c>
      <c r="I40" s="12">
        <f>ROUND(D40*F40, 2)</f>
        <v/>
      </c>
      <c r="J40" s="27">
        <f>ROUND(H40*E40*SQRT(F40), 2)</f>
        <v/>
      </c>
      <c r="K40" s="27">
        <f>ROUND(I40+J40, 2)</f>
        <v/>
      </c>
      <c r="L40" s="20" t="inlineStr">
        <is>
          <t>Bi-Weekly Review + Safety Buffer | Monitor Demand Spikes Closely</t>
        </is>
      </c>
    </row>
    <row r="41">
      <c r="B41" s="9" t="inlineStr">
        <is>
          <t>FOODS_1_219</t>
        </is>
      </c>
      <c r="C41" s="18" t="inlineStr">
        <is>
          <t>A</t>
        </is>
      </c>
      <c r="D41" s="12" t="n">
        <v>2.4647</v>
      </c>
      <c r="E41" s="12" t="n">
        <v>2.8297</v>
      </c>
      <c r="F41" s="9" t="n">
        <v>7</v>
      </c>
      <c r="G41" s="25" t="n">
        <v>0.95</v>
      </c>
      <c r="H41" s="26" t="n">
        <v>1.65</v>
      </c>
      <c r="I41" s="12">
        <f>ROUND(D41*F41, 2)</f>
        <v/>
      </c>
      <c r="J41" s="27">
        <f>ROUND(H41*E41*SQRT(F41), 2)</f>
        <v/>
      </c>
      <c r="K41" s="27">
        <f>ROUND(I41+J41, 2)</f>
        <v/>
      </c>
      <c r="L41" s="20" t="inlineStr">
        <is>
          <t>Bi-Weekly Review + Safety Buffer | Monitor Demand Spikes Closely</t>
        </is>
      </c>
    </row>
    <row r="42">
      <c r="B42" s="9" t="inlineStr">
        <is>
          <t>FOODS_1_154</t>
        </is>
      </c>
      <c r="C42" s="18" t="inlineStr">
        <is>
          <t>A</t>
        </is>
      </c>
      <c r="D42" s="12" t="n">
        <v>2.4543</v>
      </c>
      <c r="E42" s="12" t="n">
        <v>3.5415</v>
      </c>
      <c r="F42" s="9" t="n">
        <v>7</v>
      </c>
      <c r="G42" s="25" t="n">
        <v>0.95</v>
      </c>
      <c r="H42" s="26" t="n">
        <v>1.65</v>
      </c>
      <c r="I42" s="12">
        <f>ROUND(D42*F42, 2)</f>
        <v/>
      </c>
      <c r="J42" s="27">
        <f>ROUND(H42*E42*SQRT(F42), 2)</f>
        <v/>
      </c>
      <c r="K42" s="27">
        <f>ROUND(I42+J42, 2)</f>
        <v/>
      </c>
      <c r="L42" s="20" t="inlineStr">
        <is>
          <t>Bi-Weekly Review + Safety Buffer | Monitor Demand Spikes Closely</t>
        </is>
      </c>
    </row>
    <row r="43">
      <c r="B43" s="9" t="inlineStr">
        <is>
          <t>FOODS_1_172</t>
        </is>
      </c>
      <c r="C43" s="18" t="inlineStr">
        <is>
          <t>A</t>
        </is>
      </c>
      <c r="D43" s="12" t="n">
        <v>2.3272</v>
      </c>
      <c r="E43" s="12" t="n">
        <v>2.0919</v>
      </c>
      <c r="F43" s="9" t="n">
        <v>7</v>
      </c>
      <c r="G43" s="25" t="n">
        <v>0.95</v>
      </c>
      <c r="H43" s="26" t="n">
        <v>1.65</v>
      </c>
      <c r="I43" s="12">
        <f>ROUND(D43*F43, 2)</f>
        <v/>
      </c>
      <c r="J43" s="27">
        <f>ROUND(H43*E43*SQRT(F43), 2)</f>
        <v/>
      </c>
      <c r="K43" s="27">
        <f>ROUND(I43+J43, 2)</f>
        <v/>
      </c>
      <c r="L43" s="20" t="inlineStr">
        <is>
          <t>Continuous Review (Weekly Reorder Trigger) | High Service Level 95%</t>
        </is>
      </c>
    </row>
    <row r="44">
      <c r="B44" s="9" t="inlineStr">
        <is>
          <t>FOODS_1_112</t>
        </is>
      </c>
      <c r="C44" s="18" t="inlineStr">
        <is>
          <t>A</t>
        </is>
      </c>
      <c r="D44" s="12" t="n">
        <v>2.3183</v>
      </c>
      <c r="E44" s="12" t="n">
        <v>2.469</v>
      </c>
      <c r="F44" s="9" t="n">
        <v>7</v>
      </c>
      <c r="G44" s="25" t="n">
        <v>0.95</v>
      </c>
      <c r="H44" s="26" t="n">
        <v>1.65</v>
      </c>
      <c r="I44" s="12">
        <f>ROUND(D44*F44, 2)</f>
        <v/>
      </c>
      <c r="J44" s="27">
        <f>ROUND(H44*E44*SQRT(F44), 2)</f>
        <v/>
      </c>
      <c r="K44" s="27">
        <f>ROUND(I44+J44, 2)</f>
        <v/>
      </c>
      <c r="L44" s="20" t="inlineStr">
        <is>
          <t>Bi-Weekly Review + Safety Buffer | Monitor Demand Spikes Closely</t>
        </is>
      </c>
    </row>
    <row r="45">
      <c r="B45" s="9" t="inlineStr">
        <is>
          <t>FOODS_1_184</t>
        </is>
      </c>
      <c r="C45" s="18" t="inlineStr">
        <is>
          <t>A</t>
        </is>
      </c>
      <c r="D45" s="12" t="n">
        <v>2.311</v>
      </c>
      <c r="E45" s="12" t="n">
        <v>3.2209</v>
      </c>
      <c r="F45" s="9" t="n">
        <v>7</v>
      </c>
      <c r="G45" s="25" t="n">
        <v>0.95</v>
      </c>
      <c r="H45" s="26" t="n">
        <v>1.65</v>
      </c>
      <c r="I45" s="12">
        <f>ROUND(D45*F45, 2)</f>
        <v/>
      </c>
      <c r="J45" s="27">
        <f>ROUND(H45*E45*SQRT(F45), 2)</f>
        <v/>
      </c>
      <c r="K45" s="27">
        <f>ROUND(I45+J45, 2)</f>
        <v/>
      </c>
      <c r="L45" s="20" t="inlineStr">
        <is>
          <t>Bi-Weekly Review + Safety Buffer | Monitor Demand Spikes Closely</t>
        </is>
      </c>
    </row>
    <row r="46">
      <c r="B46" s="9" t="inlineStr">
        <is>
          <t>FOODS_1_082</t>
        </is>
      </c>
      <c r="C46" s="18" t="inlineStr">
        <is>
          <t>A</t>
        </is>
      </c>
      <c r="D46" s="12" t="n">
        <v>2.2802</v>
      </c>
      <c r="E46" s="12" t="n">
        <v>4.0794</v>
      </c>
      <c r="F46" s="9" t="n">
        <v>7</v>
      </c>
      <c r="G46" s="25" t="n">
        <v>0.95</v>
      </c>
      <c r="H46" s="26" t="n">
        <v>1.65</v>
      </c>
      <c r="I46" s="12">
        <f>ROUND(D46*F46, 2)</f>
        <v/>
      </c>
      <c r="J46" s="27">
        <f>ROUND(H46*E46*SQRT(F46), 2)</f>
        <v/>
      </c>
      <c r="K46" s="27">
        <f>ROUND(I46+J46, 2)</f>
        <v/>
      </c>
      <c r="L46" s="20" t="inlineStr">
        <is>
          <t>Bi-Weekly Review + Safety Buffer | Monitor Demand Spikes Closely</t>
        </is>
      </c>
    </row>
    <row r="47">
      <c r="B47" s="9" t="inlineStr">
        <is>
          <t>FOODS_1_040</t>
        </is>
      </c>
      <c r="C47" s="18" t="inlineStr">
        <is>
          <t>A</t>
        </is>
      </c>
      <c r="D47" s="12" t="n">
        <v>2.2175</v>
      </c>
      <c r="E47" s="12" t="n">
        <v>2.3924</v>
      </c>
      <c r="F47" s="9" t="n">
        <v>7</v>
      </c>
      <c r="G47" s="25" t="n">
        <v>0.95</v>
      </c>
      <c r="H47" s="26" t="n">
        <v>1.65</v>
      </c>
      <c r="I47" s="12">
        <f>ROUND(D47*F47, 2)</f>
        <v/>
      </c>
      <c r="J47" s="27">
        <f>ROUND(H47*E47*SQRT(F47), 2)</f>
        <v/>
      </c>
      <c r="K47" s="27">
        <f>ROUND(I47+J47, 2)</f>
        <v/>
      </c>
      <c r="L47" s="20" t="inlineStr">
        <is>
          <t>Bi-Weekly Review + Safety Buffer | Monitor Demand Spikes Closely</t>
        </is>
      </c>
    </row>
    <row r="48">
      <c r="B48" s="9" t="inlineStr">
        <is>
          <t>FOODS_1_166</t>
        </is>
      </c>
      <c r="C48" s="18" t="inlineStr">
        <is>
          <t>A</t>
        </is>
      </c>
      <c r="D48" s="12" t="n">
        <v>2.1777</v>
      </c>
      <c r="E48" s="12" t="n">
        <v>2.5025</v>
      </c>
      <c r="F48" s="9" t="n">
        <v>7</v>
      </c>
      <c r="G48" s="25" t="n">
        <v>0.95</v>
      </c>
      <c r="H48" s="26" t="n">
        <v>1.65</v>
      </c>
      <c r="I48" s="12">
        <f>ROUND(D48*F48, 2)</f>
        <v/>
      </c>
      <c r="J48" s="27">
        <f>ROUND(H48*E48*SQRT(F48), 2)</f>
        <v/>
      </c>
      <c r="K48" s="27">
        <f>ROUND(I48+J48, 2)</f>
        <v/>
      </c>
      <c r="L48" s="20" t="inlineStr">
        <is>
          <t>Bi-Weekly Review + Safety Buffer | Monitor Demand Spikes Closely</t>
        </is>
      </c>
    </row>
    <row r="49">
      <c r="B49" s="9" t="inlineStr">
        <is>
          <t>FOODS_1_217</t>
        </is>
      </c>
      <c r="C49" s="18" t="inlineStr">
        <is>
          <t>A</t>
        </is>
      </c>
      <c r="D49" s="12" t="n">
        <v>2.1035</v>
      </c>
      <c r="E49" s="12" t="n">
        <v>2.8982</v>
      </c>
      <c r="F49" s="9" t="n">
        <v>7</v>
      </c>
      <c r="G49" s="25" t="n">
        <v>0.95</v>
      </c>
      <c r="H49" s="26" t="n">
        <v>1.65</v>
      </c>
      <c r="I49" s="12">
        <f>ROUND(D49*F49, 2)</f>
        <v/>
      </c>
      <c r="J49" s="27">
        <f>ROUND(H49*E49*SQRT(F49), 2)</f>
        <v/>
      </c>
      <c r="K49" s="27">
        <f>ROUND(I49+J49, 2)</f>
        <v/>
      </c>
      <c r="L49" s="20" t="inlineStr">
        <is>
          <t>Bi-Weekly Review + Safety Buffer | Monitor Demand Spikes Closely</t>
        </is>
      </c>
    </row>
    <row r="50">
      <c r="B50" s="9" t="inlineStr">
        <is>
          <t>FOODS_1_153</t>
        </is>
      </c>
      <c r="C50" s="18" t="inlineStr">
        <is>
          <t>A</t>
        </is>
      </c>
      <c r="D50" s="12" t="n">
        <v>2.0768</v>
      </c>
      <c r="E50" s="12" t="n">
        <v>2.0161</v>
      </c>
      <c r="F50" s="9" t="n">
        <v>7</v>
      </c>
      <c r="G50" s="25" t="n">
        <v>0.95</v>
      </c>
      <c r="H50" s="26" t="n">
        <v>1.65</v>
      </c>
      <c r="I50" s="12">
        <f>ROUND(D50*F50, 2)</f>
        <v/>
      </c>
      <c r="J50" s="27">
        <f>ROUND(H50*E50*SQRT(F50), 2)</f>
        <v/>
      </c>
      <c r="K50" s="27">
        <f>ROUND(I50+J50, 2)</f>
        <v/>
      </c>
      <c r="L50" s="20" t="inlineStr">
        <is>
          <t>Continuous Review (Weekly Reorder Trigger) | High Service Level 95%</t>
        </is>
      </c>
    </row>
    <row r="51">
      <c r="B51" s="9" t="inlineStr">
        <is>
          <t>FOODS_1_194</t>
        </is>
      </c>
      <c r="C51" s="18" t="inlineStr">
        <is>
          <t>A</t>
        </is>
      </c>
      <c r="D51" s="12" t="n">
        <v>2.0742</v>
      </c>
      <c r="E51" s="12" t="n">
        <v>2.1945</v>
      </c>
      <c r="F51" s="9" t="n">
        <v>7</v>
      </c>
      <c r="G51" s="25" t="n">
        <v>0.95</v>
      </c>
      <c r="H51" s="26" t="n">
        <v>1.65</v>
      </c>
      <c r="I51" s="12">
        <f>ROUND(D51*F51, 2)</f>
        <v/>
      </c>
      <c r="J51" s="27">
        <f>ROUND(H51*E51*SQRT(F51), 2)</f>
        <v/>
      </c>
      <c r="K51" s="27">
        <f>ROUND(I51+J51, 2)</f>
        <v/>
      </c>
      <c r="L51" s="20" t="inlineStr">
        <is>
          <t>Bi-Weekly Review + Safety Buffer | Monitor Demand Spikes Closely</t>
        </is>
      </c>
    </row>
    <row r="52">
      <c r="B52" s="9" t="inlineStr">
        <is>
          <t>FOODS_1_201</t>
        </is>
      </c>
      <c r="C52" s="18" t="inlineStr">
        <is>
          <t>A</t>
        </is>
      </c>
      <c r="D52" s="12" t="n">
        <v>2.0486</v>
      </c>
      <c r="E52" s="12" t="n">
        <v>2.4721</v>
      </c>
      <c r="F52" s="9" t="n">
        <v>7</v>
      </c>
      <c r="G52" s="25" t="n">
        <v>0.95</v>
      </c>
      <c r="H52" s="26" t="n">
        <v>1.65</v>
      </c>
      <c r="I52" s="12">
        <f>ROUND(D52*F52, 2)</f>
        <v/>
      </c>
      <c r="J52" s="27">
        <f>ROUND(H52*E52*SQRT(F52), 2)</f>
        <v/>
      </c>
      <c r="K52" s="27">
        <f>ROUND(I52+J52, 2)</f>
        <v/>
      </c>
      <c r="L52" s="20" t="inlineStr">
        <is>
          <t>Bi-Weekly Review + Safety Buffer | Monitor Demand Spikes Closely</t>
        </is>
      </c>
    </row>
    <row r="53">
      <c r="B53" s="9" t="inlineStr">
        <is>
          <t>FOODS_1_044</t>
        </is>
      </c>
      <c r="C53" s="18" t="inlineStr">
        <is>
          <t>A</t>
        </is>
      </c>
      <c r="D53" s="12" t="n">
        <v>2.0204</v>
      </c>
      <c r="E53" s="12" t="n">
        <v>3.0548</v>
      </c>
      <c r="F53" s="9" t="n">
        <v>7</v>
      </c>
      <c r="G53" s="25" t="n">
        <v>0.95</v>
      </c>
      <c r="H53" s="26" t="n">
        <v>1.65</v>
      </c>
      <c r="I53" s="12">
        <f>ROUND(D53*F53, 2)</f>
        <v/>
      </c>
      <c r="J53" s="27">
        <f>ROUND(H53*E53*SQRT(F53), 2)</f>
        <v/>
      </c>
      <c r="K53" s="27">
        <f>ROUND(I53+J53, 2)</f>
        <v/>
      </c>
      <c r="L53" s="20" t="inlineStr">
        <is>
          <t>Bi-Weekly Review + Safety Buffer | Monitor Demand Spikes Closely</t>
        </is>
      </c>
    </row>
    <row r="54">
      <c r="B54" s="9" t="inlineStr">
        <is>
          <t>FOODS_1_036</t>
        </is>
      </c>
      <c r="C54" s="18" t="inlineStr">
        <is>
          <t>A</t>
        </is>
      </c>
      <c r="D54" s="12" t="n">
        <v>1.9603</v>
      </c>
      <c r="E54" s="12" t="n">
        <v>2.228</v>
      </c>
      <c r="F54" s="9" t="n">
        <v>7</v>
      </c>
      <c r="G54" s="25" t="n">
        <v>0.95</v>
      </c>
      <c r="H54" s="26" t="n">
        <v>1.65</v>
      </c>
      <c r="I54" s="12">
        <f>ROUND(D54*F54, 2)</f>
        <v/>
      </c>
      <c r="J54" s="27">
        <f>ROUND(H54*E54*SQRT(F54), 2)</f>
        <v/>
      </c>
      <c r="K54" s="27">
        <f>ROUND(I54+J54, 2)</f>
        <v/>
      </c>
      <c r="L54" s="20" t="inlineStr">
        <is>
          <t>Bi-Weekly Review + Safety Buffer | Monitor Demand Spikes Closely</t>
        </is>
      </c>
    </row>
    <row r="55">
      <c r="B55" s="9" t="inlineStr">
        <is>
          <t>FOODS_1_181</t>
        </is>
      </c>
      <c r="C55" s="18" t="inlineStr">
        <is>
          <t>A</t>
        </is>
      </c>
      <c r="D55" s="12" t="n">
        <v>1.9294</v>
      </c>
      <c r="E55" s="12" t="n">
        <v>2.5451</v>
      </c>
      <c r="F55" s="9" t="n">
        <v>7</v>
      </c>
      <c r="G55" s="25" t="n">
        <v>0.95</v>
      </c>
      <c r="H55" s="26" t="n">
        <v>1.65</v>
      </c>
      <c r="I55" s="12">
        <f>ROUND(D55*F55, 2)</f>
        <v/>
      </c>
      <c r="J55" s="27">
        <f>ROUND(H55*E55*SQRT(F55), 2)</f>
        <v/>
      </c>
      <c r="K55" s="27">
        <f>ROUND(I55+J55, 2)</f>
        <v/>
      </c>
      <c r="L55" s="20" t="inlineStr">
        <is>
          <t>Bi-Weekly Review + Safety Buffer | Monitor Demand Spikes Closely</t>
        </is>
      </c>
    </row>
    <row r="56">
      <c r="B56" s="9" t="inlineStr">
        <is>
          <t>FOODS_1_054</t>
        </is>
      </c>
      <c r="C56" s="18" t="inlineStr">
        <is>
          <t>A</t>
        </is>
      </c>
      <c r="D56" s="12" t="n">
        <v>1.8076</v>
      </c>
      <c r="E56" s="12" t="n">
        <v>1.8369</v>
      </c>
      <c r="F56" s="9" t="n">
        <v>7</v>
      </c>
      <c r="G56" s="25" t="n">
        <v>0.95</v>
      </c>
      <c r="H56" s="26" t="n">
        <v>1.65</v>
      </c>
      <c r="I56" s="12">
        <f>ROUND(D56*F56, 2)</f>
        <v/>
      </c>
      <c r="J56" s="27">
        <f>ROUND(H56*E56*SQRT(F56), 2)</f>
        <v/>
      </c>
      <c r="K56" s="27">
        <f>ROUND(I56+J56, 2)</f>
        <v/>
      </c>
      <c r="L56" s="20" t="inlineStr">
        <is>
          <t>Bi-Weekly Review + Safety Buffer | Monitor Demand Spikes Closely</t>
        </is>
      </c>
    </row>
    <row r="57">
      <c r="B57" s="9" t="inlineStr">
        <is>
          <t>FOODS_1_104</t>
        </is>
      </c>
      <c r="C57" s="18" t="inlineStr">
        <is>
          <t>A</t>
        </is>
      </c>
      <c r="D57" s="12" t="n">
        <v>1.7731</v>
      </c>
      <c r="E57" s="12" t="n">
        <v>2.4163</v>
      </c>
      <c r="F57" s="9" t="n">
        <v>7</v>
      </c>
      <c r="G57" s="25" t="n">
        <v>0.95</v>
      </c>
      <c r="H57" s="26" t="n">
        <v>1.65</v>
      </c>
      <c r="I57" s="12">
        <f>ROUND(D57*F57, 2)</f>
        <v/>
      </c>
      <c r="J57" s="27">
        <f>ROUND(H57*E57*SQRT(F57), 2)</f>
        <v/>
      </c>
      <c r="K57" s="27">
        <f>ROUND(I57+J57, 2)</f>
        <v/>
      </c>
      <c r="L57" s="20" t="inlineStr">
        <is>
          <t>Bi-Weekly Review + Safety Buffer | Monitor Demand Spikes Closely</t>
        </is>
      </c>
    </row>
    <row r="58">
      <c r="B58" s="9" t="inlineStr">
        <is>
          <t>FOODS_1_087</t>
        </is>
      </c>
      <c r="C58" s="18" t="inlineStr">
        <is>
          <t>A</t>
        </is>
      </c>
      <c r="D58" s="12" t="n">
        <v>1.7156</v>
      </c>
      <c r="E58" s="12" t="n">
        <v>2.2437</v>
      </c>
      <c r="F58" s="9" t="n">
        <v>7</v>
      </c>
      <c r="G58" s="25" t="n">
        <v>0.95</v>
      </c>
      <c r="H58" s="26" t="n">
        <v>1.65</v>
      </c>
      <c r="I58" s="12">
        <f>ROUND(D58*F58, 2)</f>
        <v/>
      </c>
      <c r="J58" s="27">
        <f>ROUND(H58*E58*SQRT(F58), 2)</f>
        <v/>
      </c>
      <c r="K58" s="27">
        <f>ROUND(I58+J58, 2)</f>
        <v/>
      </c>
      <c r="L58" s="20" t="inlineStr">
        <is>
          <t>Bi-Weekly Review + Safety Buffer | Monitor Demand Spikes Closely</t>
        </is>
      </c>
    </row>
    <row r="59">
      <c r="B59" s="9" t="inlineStr">
        <is>
          <t>FOODS_1_130</t>
        </is>
      </c>
      <c r="C59" s="18" t="inlineStr">
        <is>
          <t>A</t>
        </is>
      </c>
      <c r="D59" s="12" t="n">
        <v>1.7088</v>
      </c>
      <c r="E59" s="12" t="n">
        <v>1.8496</v>
      </c>
      <c r="F59" s="9" t="n">
        <v>7</v>
      </c>
      <c r="G59" s="25" t="n">
        <v>0.95</v>
      </c>
      <c r="H59" s="26" t="n">
        <v>1.65</v>
      </c>
      <c r="I59" s="12">
        <f>ROUND(D59*F59, 2)</f>
        <v/>
      </c>
      <c r="J59" s="27">
        <f>ROUND(H59*E59*SQRT(F59), 2)</f>
        <v/>
      </c>
      <c r="K59" s="27">
        <f>ROUND(I59+J59, 2)</f>
        <v/>
      </c>
      <c r="L59" s="20" t="inlineStr">
        <is>
          <t>Bi-Weekly Review + Safety Buffer | Monitor Demand Spikes Closely</t>
        </is>
      </c>
    </row>
    <row r="60">
      <c r="B60" s="9" t="inlineStr">
        <is>
          <t>FOODS_1_120</t>
        </is>
      </c>
      <c r="C60" s="18" t="inlineStr">
        <is>
          <t>A</t>
        </is>
      </c>
      <c r="D60" s="12" t="n">
        <v>1.6968</v>
      </c>
      <c r="E60" s="12" t="n">
        <v>2.1809</v>
      </c>
      <c r="F60" s="9" t="n">
        <v>7</v>
      </c>
      <c r="G60" s="25" t="n">
        <v>0.95</v>
      </c>
      <c r="H60" s="26" t="n">
        <v>1.65</v>
      </c>
      <c r="I60" s="12">
        <f>ROUND(D60*F60, 2)</f>
        <v/>
      </c>
      <c r="J60" s="27">
        <f>ROUND(H60*E60*SQRT(F60), 2)</f>
        <v/>
      </c>
      <c r="K60" s="27">
        <f>ROUND(I60+J60, 2)</f>
        <v/>
      </c>
      <c r="L60" s="20" t="inlineStr">
        <is>
          <t>Bi-Weekly Review + Safety Buffer | Monitor Demand Spikes Closely</t>
        </is>
      </c>
    </row>
    <row r="61">
      <c r="B61" s="9" t="inlineStr">
        <is>
          <t>FOODS_1_061</t>
        </is>
      </c>
      <c r="C61" s="18" t="inlineStr">
        <is>
          <t>A</t>
        </is>
      </c>
      <c r="D61" s="12" t="n">
        <v>1.6451</v>
      </c>
      <c r="E61" s="12" t="n">
        <v>1.8817</v>
      </c>
      <c r="F61" s="9" t="n">
        <v>7</v>
      </c>
      <c r="G61" s="25" t="n">
        <v>0.95</v>
      </c>
      <c r="H61" s="26" t="n">
        <v>1.65</v>
      </c>
      <c r="I61" s="12">
        <f>ROUND(D61*F61, 2)</f>
        <v/>
      </c>
      <c r="J61" s="27">
        <f>ROUND(H61*E61*SQRT(F61), 2)</f>
        <v/>
      </c>
      <c r="K61" s="27">
        <f>ROUND(I61+J61, 2)</f>
        <v/>
      </c>
      <c r="L61" s="20" t="inlineStr">
        <is>
          <t>Bi-Weekly Review + Safety Buffer | Monitor Demand Spikes Closely</t>
        </is>
      </c>
    </row>
    <row r="62">
      <c r="B62" s="9" t="inlineStr">
        <is>
          <t>FOODS_1_027</t>
        </is>
      </c>
      <c r="C62" s="18" t="inlineStr">
        <is>
          <t>A</t>
        </is>
      </c>
      <c r="D62" s="12" t="n">
        <v>1.5463</v>
      </c>
      <c r="E62" s="12" t="n">
        <v>2.997</v>
      </c>
      <c r="F62" s="9" t="n">
        <v>7</v>
      </c>
      <c r="G62" s="25" t="n">
        <v>0.95</v>
      </c>
      <c r="H62" s="26" t="n">
        <v>1.65</v>
      </c>
      <c r="I62" s="12">
        <f>ROUND(D62*F62, 2)</f>
        <v/>
      </c>
      <c r="J62" s="27">
        <f>ROUND(H62*E62*SQRT(F62), 2)</f>
        <v/>
      </c>
      <c r="K62" s="27">
        <f>ROUND(I62+J62, 2)</f>
        <v/>
      </c>
      <c r="L62" s="20" t="inlineStr">
        <is>
          <t>Bi-Weekly Review + Safety Buffer | Monitor Demand Spikes Closely</t>
        </is>
      </c>
    </row>
    <row r="63">
      <c r="B63" s="9" t="inlineStr">
        <is>
          <t>FOODS_1_088</t>
        </is>
      </c>
      <c r="C63" s="18" t="inlineStr">
        <is>
          <t>A</t>
        </is>
      </c>
      <c r="D63" s="12" t="n">
        <v>1.5416</v>
      </c>
      <c r="E63" s="12" t="n">
        <v>2.1051</v>
      </c>
      <c r="F63" s="9" t="n">
        <v>7</v>
      </c>
      <c r="G63" s="25" t="n">
        <v>0.95</v>
      </c>
      <c r="H63" s="26" t="n">
        <v>1.65</v>
      </c>
      <c r="I63" s="12">
        <f>ROUND(D63*F63, 2)</f>
        <v/>
      </c>
      <c r="J63" s="27">
        <f>ROUND(H63*E63*SQRT(F63), 2)</f>
        <v/>
      </c>
      <c r="K63" s="27">
        <f>ROUND(I63+J63, 2)</f>
        <v/>
      </c>
      <c r="L63" s="20" t="inlineStr">
        <is>
          <t>Bi-Weekly Review + Safety Buffer | Monitor Demand Spikes Closely</t>
        </is>
      </c>
    </row>
    <row r="64">
      <c r="B64" s="9" t="inlineStr">
        <is>
          <t>FOODS_1_074</t>
        </is>
      </c>
      <c r="C64" s="18" t="inlineStr">
        <is>
          <t>A</t>
        </is>
      </c>
      <c r="D64" s="12" t="n">
        <v>1.5379</v>
      </c>
      <c r="E64" s="12" t="n">
        <v>2.0049</v>
      </c>
      <c r="F64" s="9" t="n">
        <v>7</v>
      </c>
      <c r="G64" s="25" t="n">
        <v>0.95</v>
      </c>
      <c r="H64" s="26" t="n">
        <v>1.65</v>
      </c>
      <c r="I64" s="12">
        <f>ROUND(D64*F64, 2)</f>
        <v/>
      </c>
      <c r="J64" s="27">
        <f>ROUND(H64*E64*SQRT(F64), 2)</f>
        <v/>
      </c>
      <c r="K64" s="27">
        <f>ROUND(I64+J64, 2)</f>
        <v/>
      </c>
      <c r="L64" s="20" t="inlineStr">
        <is>
          <t>Bi-Weekly Review + Safety Buffer | Monitor Demand Spikes Closely</t>
        </is>
      </c>
    </row>
    <row r="65">
      <c r="B65" s="9" t="inlineStr">
        <is>
          <t>FOODS_1_064</t>
        </is>
      </c>
      <c r="C65" s="18" t="inlineStr">
        <is>
          <t>A</t>
        </is>
      </c>
      <c r="D65" s="12" t="n">
        <v>1.5191</v>
      </c>
      <c r="E65" s="12" t="n">
        <v>1.6031</v>
      </c>
      <c r="F65" s="9" t="n">
        <v>7</v>
      </c>
      <c r="G65" s="25" t="n">
        <v>0.95</v>
      </c>
      <c r="H65" s="26" t="n">
        <v>1.65</v>
      </c>
      <c r="I65" s="12">
        <f>ROUND(D65*F65, 2)</f>
        <v/>
      </c>
      <c r="J65" s="27">
        <f>ROUND(H65*E65*SQRT(F65), 2)</f>
        <v/>
      </c>
      <c r="K65" s="27">
        <f>ROUND(I65+J65, 2)</f>
        <v/>
      </c>
      <c r="L65" s="20" t="inlineStr">
        <is>
          <t>Bi-Weekly Review + Safety Buffer | Monitor Demand Spikes Closely</t>
        </is>
      </c>
    </row>
    <row r="66">
      <c r="B66" s="9" t="inlineStr">
        <is>
          <t>FOODS_1_127</t>
        </is>
      </c>
      <c r="C66" s="18" t="inlineStr">
        <is>
          <t>A</t>
        </is>
      </c>
      <c r="D66" s="12" t="n">
        <v>1.5091</v>
      </c>
      <c r="E66" s="12" t="n">
        <v>1.8301</v>
      </c>
      <c r="F66" s="9" t="n">
        <v>7</v>
      </c>
      <c r="G66" s="25" t="n">
        <v>0.95</v>
      </c>
      <c r="H66" s="26" t="n">
        <v>1.65</v>
      </c>
      <c r="I66" s="12">
        <f>ROUND(D66*F66, 2)</f>
        <v/>
      </c>
      <c r="J66" s="27">
        <f>ROUND(H66*E66*SQRT(F66), 2)</f>
        <v/>
      </c>
      <c r="K66" s="27">
        <f>ROUND(I66+J66, 2)</f>
        <v/>
      </c>
      <c r="L66" s="20" t="inlineStr">
        <is>
          <t>Bi-Weekly Review + Safety Buffer | Monitor Demand Spikes Closely</t>
        </is>
      </c>
    </row>
    <row r="67">
      <c r="B67" s="9" t="inlineStr">
        <is>
          <t>FOODS_1_006</t>
        </is>
      </c>
      <c r="C67" s="18" t="inlineStr">
        <is>
          <t>A</t>
        </is>
      </c>
      <c r="D67" s="12" t="n">
        <v>1.5024</v>
      </c>
      <c r="E67" s="12" t="n">
        <v>1.8692</v>
      </c>
      <c r="F67" s="9" t="n">
        <v>7</v>
      </c>
      <c r="G67" s="25" t="n">
        <v>0.95</v>
      </c>
      <c r="H67" s="26" t="n">
        <v>1.65</v>
      </c>
      <c r="I67" s="12">
        <f>ROUND(D67*F67, 2)</f>
        <v/>
      </c>
      <c r="J67" s="27">
        <f>ROUND(H67*E67*SQRT(F67), 2)</f>
        <v/>
      </c>
      <c r="K67" s="27">
        <f>ROUND(I67+J67, 2)</f>
        <v/>
      </c>
      <c r="L67" s="20" t="inlineStr">
        <is>
          <t>Bi-Weekly Review + Safety Buffer | Monitor Demand Spikes Closely</t>
        </is>
      </c>
    </row>
    <row r="68">
      <c r="B68" s="9" t="inlineStr">
        <is>
          <t>FOODS_1_083</t>
        </is>
      </c>
      <c r="C68" s="18" t="inlineStr">
        <is>
          <t>A</t>
        </is>
      </c>
      <c r="D68" s="12" t="n">
        <v>1.4558</v>
      </c>
      <c r="E68" s="12" t="n">
        <v>2.0045</v>
      </c>
      <c r="F68" s="9" t="n">
        <v>7</v>
      </c>
      <c r="G68" s="25" t="n">
        <v>0.95</v>
      </c>
      <c r="H68" s="26" t="n">
        <v>1.65</v>
      </c>
      <c r="I68" s="12">
        <f>ROUND(D68*F68, 2)</f>
        <v/>
      </c>
      <c r="J68" s="27">
        <f>ROUND(H68*E68*SQRT(F68), 2)</f>
        <v/>
      </c>
      <c r="K68" s="27">
        <f>ROUND(I68+J68, 2)</f>
        <v/>
      </c>
      <c r="L68" s="20" t="inlineStr">
        <is>
          <t>Bi-Weekly Review + Safety Buffer | Monitor Demand Spikes Closely</t>
        </is>
      </c>
    </row>
    <row r="69">
      <c r="B69" s="9" t="inlineStr">
        <is>
          <t>FOODS_1_103</t>
        </is>
      </c>
      <c r="C69" s="18" t="inlineStr">
        <is>
          <t>A</t>
        </is>
      </c>
      <c r="D69" s="12" t="n">
        <v>1.414</v>
      </c>
      <c r="E69" s="12" t="n">
        <v>1.9761</v>
      </c>
      <c r="F69" s="9" t="n">
        <v>7</v>
      </c>
      <c r="G69" s="25" t="n">
        <v>0.95</v>
      </c>
      <c r="H69" s="26" t="n">
        <v>1.65</v>
      </c>
      <c r="I69" s="12">
        <f>ROUND(D69*F69, 2)</f>
        <v/>
      </c>
      <c r="J69" s="27">
        <f>ROUND(H69*E69*SQRT(F69), 2)</f>
        <v/>
      </c>
      <c r="K69" s="27">
        <f>ROUND(I69+J69, 2)</f>
        <v/>
      </c>
      <c r="L69" s="20" t="inlineStr">
        <is>
          <t>Bi-Weekly Review + Safety Buffer | Monitor Demand Spikes Closely</t>
        </is>
      </c>
    </row>
    <row r="70">
      <c r="B70" s="9" t="inlineStr">
        <is>
          <t>FOODS_1_208</t>
        </is>
      </c>
      <c r="C70" s="18" t="inlineStr">
        <is>
          <t>A</t>
        </is>
      </c>
      <c r="D70" s="12" t="n">
        <v>1.3806</v>
      </c>
      <c r="E70" s="12" t="n">
        <v>1.8648</v>
      </c>
      <c r="F70" s="9" t="n">
        <v>7</v>
      </c>
      <c r="G70" s="25" t="n">
        <v>0.95</v>
      </c>
      <c r="H70" s="26" t="n">
        <v>1.65</v>
      </c>
      <c r="I70" s="12">
        <f>ROUND(D70*F70, 2)</f>
        <v/>
      </c>
      <c r="J70" s="27">
        <f>ROUND(H70*E70*SQRT(F70), 2)</f>
        <v/>
      </c>
      <c r="K70" s="27">
        <f>ROUND(I70+J70, 2)</f>
        <v/>
      </c>
      <c r="L70" s="20" t="inlineStr">
        <is>
          <t>Bi-Weekly Review + Safety Buffer | Monitor Demand Spikes Closely</t>
        </is>
      </c>
    </row>
    <row r="71">
      <c r="B71" s="9" t="inlineStr">
        <is>
          <t>FOODS_1_207</t>
        </is>
      </c>
      <c r="C71" s="18" t="inlineStr">
        <is>
          <t>A</t>
        </is>
      </c>
      <c r="D71" s="12" t="n">
        <v>1.3246</v>
      </c>
      <c r="E71" s="12" t="n">
        <v>1.5476</v>
      </c>
      <c r="F71" s="9" t="n">
        <v>7</v>
      </c>
      <c r="G71" s="25" t="n">
        <v>0.95</v>
      </c>
      <c r="H71" s="26" t="n">
        <v>1.65</v>
      </c>
      <c r="I71" s="12">
        <f>ROUND(D71*F71, 2)</f>
        <v/>
      </c>
      <c r="J71" s="27">
        <f>ROUND(H71*E71*SQRT(F71), 2)</f>
        <v/>
      </c>
      <c r="K71" s="27">
        <f>ROUND(I71+J71, 2)</f>
        <v/>
      </c>
      <c r="L71" s="20" t="inlineStr">
        <is>
          <t>Bi-Weekly Review + Safety Buffer | Monitor Demand Spikes Closely</t>
        </is>
      </c>
    </row>
    <row r="72">
      <c r="B72" s="9" t="inlineStr">
        <is>
          <t>FOODS_1_106</t>
        </is>
      </c>
      <c r="C72" s="18" t="inlineStr">
        <is>
          <t>A</t>
        </is>
      </c>
      <c r="D72" s="12" t="n">
        <v>1.3105</v>
      </c>
      <c r="E72" s="12" t="n">
        <v>1.5439</v>
      </c>
      <c r="F72" s="9" t="n">
        <v>7</v>
      </c>
      <c r="G72" s="25" t="n">
        <v>0.95</v>
      </c>
      <c r="H72" s="26" t="n">
        <v>1.65</v>
      </c>
      <c r="I72" s="12">
        <f>ROUND(D72*F72, 2)</f>
        <v/>
      </c>
      <c r="J72" s="27">
        <f>ROUND(H72*E72*SQRT(F72), 2)</f>
        <v/>
      </c>
      <c r="K72" s="27">
        <f>ROUND(I72+J72, 2)</f>
        <v/>
      </c>
      <c r="L72" s="20" t="inlineStr">
        <is>
          <t>Bi-Weekly Review + Safety Buffer | Monitor Demand Spikes Closely</t>
        </is>
      </c>
    </row>
    <row r="73">
      <c r="B73" s="9" t="inlineStr">
        <is>
          <t>FOODS_1_023</t>
        </is>
      </c>
      <c r="C73" s="18" t="inlineStr">
        <is>
          <t>A</t>
        </is>
      </c>
      <c r="D73" s="12" t="n">
        <v>1.3074</v>
      </c>
      <c r="E73" s="12" t="n">
        <v>2.0691</v>
      </c>
      <c r="F73" s="9" t="n">
        <v>7</v>
      </c>
      <c r="G73" s="25" t="n">
        <v>0.95</v>
      </c>
      <c r="H73" s="26" t="n">
        <v>1.65</v>
      </c>
      <c r="I73" s="12">
        <f>ROUND(D73*F73, 2)</f>
        <v/>
      </c>
      <c r="J73" s="27">
        <f>ROUND(H73*E73*SQRT(F73), 2)</f>
        <v/>
      </c>
      <c r="K73" s="27">
        <f>ROUND(I73+J73, 2)</f>
        <v/>
      </c>
      <c r="L73" s="20" t="inlineStr">
        <is>
          <t>Bi-Weekly Review + Safety Buffer | Monitor Demand Spikes Closely</t>
        </is>
      </c>
    </row>
    <row r="74">
      <c r="B74" s="9" t="inlineStr">
        <is>
          <t>FOODS_1_016</t>
        </is>
      </c>
      <c r="C74" s="18" t="inlineStr">
        <is>
          <t>A</t>
        </is>
      </c>
      <c r="D74" s="12" t="n">
        <v>1.2446</v>
      </c>
      <c r="E74" s="12" t="n">
        <v>1.608</v>
      </c>
      <c r="F74" s="9" t="n">
        <v>7</v>
      </c>
      <c r="G74" s="25" t="n">
        <v>0.95</v>
      </c>
      <c r="H74" s="26" t="n">
        <v>1.65</v>
      </c>
      <c r="I74" s="12">
        <f>ROUND(D74*F74, 2)</f>
        <v/>
      </c>
      <c r="J74" s="27">
        <f>ROUND(H74*E74*SQRT(F74), 2)</f>
        <v/>
      </c>
      <c r="K74" s="27">
        <f>ROUND(I74+J74, 2)</f>
        <v/>
      </c>
      <c r="L74" s="20" t="inlineStr">
        <is>
          <t>Bi-Weekly Review + Safety Buffer | Monitor Demand Spikes Closely</t>
        </is>
      </c>
    </row>
    <row r="75">
      <c r="B75" s="9" t="inlineStr">
        <is>
          <t>FOODS_1_150</t>
        </is>
      </c>
      <c r="C75" s="18" t="inlineStr">
        <is>
          <t>A</t>
        </is>
      </c>
      <c r="D75" s="12" t="n">
        <v>1.2133</v>
      </c>
      <c r="E75" s="12" t="n">
        <v>1.6401</v>
      </c>
      <c r="F75" s="9" t="n">
        <v>7</v>
      </c>
      <c r="G75" s="25" t="n">
        <v>0.95</v>
      </c>
      <c r="H75" s="26" t="n">
        <v>1.65</v>
      </c>
      <c r="I75" s="12">
        <f>ROUND(D75*F75, 2)</f>
        <v/>
      </c>
      <c r="J75" s="27">
        <f>ROUND(H75*E75*SQRT(F75), 2)</f>
        <v/>
      </c>
      <c r="K75" s="27">
        <f>ROUND(I75+J75, 2)</f>
        <v/>
      </c>
      <c r="L75" s="20" t="inlineStr">
        <is>
          <t>Bi-Weekly Review + Safety Buffer | Monitor Demand Spikes Closely</t>
        </is>
      </c>
    </row>
    <row r="76">
      <c r="B76" s="9" t="inlineStr">
        <is>
          <t>FOODS_1_196</t>
        </is>
      </c>
      <c r="C76" s="18" t="inlineStr">
        <is>
          <t>A</t>
        </is>
      </c>
      <c r="D76" s="12" t="n">
        <v>1.2112</v>
      </c>
      <c r="E76" s="12" t="n">
        <v>1.7142</v>
      </c>
      <c r="F76" s="9" t="n">
        <v>7</v>
      </c>
      <c r="G76" s="25" t="n">
        <v>0.95</v>
      </c>
      <c r="H76" s="26" t="n">
        <v>1.65</v>
      </c>
      <c r="I76" s="12">
        <f>ROUND(D76*F76, 2)</f>
        <v/>
      </c>
      <c r="J76" s="27">
        <f>ROUND(H76*E76*SQRT(F76), 2)</f>
        <v/>
      </c>
      <c r="K76" s="27">
        <f>ROUND(I76+J76, 2)</f>
        <v/>
      </c>
      <c r="L76" s="20" t="inlineStr">
        <is>
          <t>Bi-Weekly Review + Safety Buffer | Monitor Demand Spikes Closely</t>
        </is>
      </c>
    </row>
    <row r="77">
      <c r="B77" s="9" t="inlineStr">
        <is>
          <t>FOODS_1_024</t>
        </is>
      </c>
      <c r="C77" s="18" t="inlineStr">
        <is>
          <t>A</t>
        </is>
      </c>
      <c r="D77" s="12" t="n">
        <v>1.1845</v>
      </c>
      <c r="E77" s="12" t="n">
        <v>1.469</v>
      </c>
      <c r="F77" s="9" t="n">
        <v>7</v>
      </c>
      <c r="G77" s="25" t="n">
        <v>0.95</v>
      </c>
      <c r="H77" s="26" t="n">
        <v>1.65</v>
      </c>
      <c r="I77" s="12">
        <f>ROUND(D77*F77, 2)</f>
        <v/>
      </c>
      <c r="J77" s="27">
        <f>ROUND(H77*E77*SQRT(F77), 2)</f>
        <v/>
      </c>
      <c r="K77" s="27">
        <f>ROUND(I77+J77, 2)</f>
        <v/>
      </c>
      <c r="L77" s="20" t="inlineStr">
        <is>
          <t>Bi-Weekly Review + Safety Buffer | Monitor Demand Spikes Closely</t>
        </is>
      </c>
    </row>
    <row r="78">
      <c r="B78" s="9" t="inlineStr">
        <is>
          <t>FOODS_1_073</t>
        </is>
      </c>
      <c r="C78" s="18" t="inlineStr">
        <is>
          <t>A</t>
        </is>
      </c>
      <c r="D78" s="12" t="n">
        <v>1.1735</v>
      </c>
      <c r="E78" s="12" t="n">
        <v>1.4601</v>
      </c>
      <c r="F78" s="9" t="n">
        <v>7</v>
      </c>
      <c r="G78" s="25" t="n">
        <v>0.95</v>
      </c>
      <c r="H78" s="26" t="n">
        <v>1.65</v>
      </c>
      <c r="I78" s="12">
        <f>ROUND(D78*F78, 2)</f>
        <v/>
      </c>
      <c r="J78" s="27">
        <f>ROUND(H78*E78*SQRT(F78), 2)</f>
        <v/>
      </c>
      <c r="K78" s="27">
        <f>ROUND(I78+J78, 2)</f>
        <v/>
      </c>
      <c r="L78" s="20" t="inlineStr">
        <is>
          <t>Bi-Weekly Review + Safety Buffer | Monitor Demand Spikes Closely</t>
        </is>
      </c>
    </row>
    <row r="79">
      <c r="B79" s="9" t="inlineStr">
        <is>
          <t>FOODS_1_005</t>
        </is>
      </c>
      <c r="C79" s="18" t="inlineStr">
        <is>
          <t>A</t>
        </is>
      </c>
      <c r="D79" s="12" t="n">
        <v>1.1626</v>
      </c>
      <c r="E79" s="12" t="n">
        <v>2.0157</v>
      </c>
      <c r="F79" s="9" t="n">
        <v>7</v>
      </c>
      <c r="G79" s="25" t="n">
        <v>0.95</v>
      </c>
      <c r="H79" s="26" t="n">
        <v>1.65</v>
      </c>
      <c r="I79" s="12">
        <f>ROUND(D79*F79, 2)</f>
        <v/>
      </c>
      <c r="J79" s="27">
        <f>ROUND(H79*E79*SQRT(F79), 2)</f>
        <v/>
      </c>
      <c r="K79" s="27">
        <f>ROUND(I79+J79, 2)</f>
        <v/>
      </c>
      <c r="L79" s="20" t="inlineStr">
        <is>
          <t>Bi-Weekly Review + Safety Buffer | Monitor Demand Spikes Closely</t>
        </is>
      </c>
    </row>
    <row r="80">
      <c r="B80" s="9" t="inlineStr">
        <is>
          <t>FOODS_1_197</t>
        </is>
      </c>
      <c r="C80" s="18" t="inlineStr">
        <is>
          <t>A</t>
        </is>
      </c>
      <c r="D80" s="12" t="n">
        <v>1.1129</v>
      </c>
      <c r="E80" s="12" t="n">
        <v>1.3606</v>
      </c>
      <c r="F80" s="9" t="n">
        <v>7</v>
      </c>
      <c r="G80" s="25" t="n">
        <v>0.95</v>
      </c>
      <c r="H80" s="26" t="n">
        <v>1.65</v>
      </c>
      <c r="I80" s="12">
        <f>ROUND(D80*F80, 2)</f>
        <v/>
      </c>
      <c r="J80" s="27">
        <f>ROUND(H80*E80*SQRT(F80), 2)</f>
        <v/>
      </c>
      <c r="K80" s="27">
        <f>ROUND(I80+J80, 2)</f>
        <v/>
      </c>
      <c r="L80" s="20" t="inlineStr">
        <is>
          <t>Bi-Weekly Review + Safety Buffer | Monitor Demand Spikes Closely</t>
        </is>
      </c>
    </row>
    <row r="81">
      <c r="B81" s="9" t="inlineStr">
        <is>
          <t>FOODS_1_187</t>
        </is>
      </c>
      <c r="C81" s="18" t="inlineStr">
        <is>
          <t>A</t>
        </is>
      </c>
      <c r="D81" s="12" t="n">
        <v>1.1025</v>
      </c>
      <c r="E81" s="12" t="n">
        <v>1.4438</v>
      </c>
      <c r="F81" s="9" t="n">
        <v>7</v>
      </c>
      <c r="G81" s="25" t="n">
        <v>0.95</v>
      </c>
      <c r="H81" s="26" t="n">
        <v>1.65</v>
      </c>
      <c r="I81" s="12">
        <f>ROUND(D81*F81, 2)</f>
        <v/>
      </c>
      <c r="J81" s="27">
        <f>ROUND(H81*E81*SQRT(F81), 2)</f>
        <v/>
      </c>
      <c r="K81" s="27">
        <f>ROUND(I81+J81, 2)</f>
        <v/>
      </c>
      <c r="L81" s="20" t="inlineStr">
        <is>
          <t>Bi-Weekly Review + Safety Buffer | Monitor Demand Spikes Closely</t>
        </is>
      </c>
    </row>
    <row r="82">
      <c r="B82" s="9" t="inlineStr">
        <is>
          <t>FOODS_1_185</t>
        </is>
      </c>
      <c r="C82" s="18" t="inlineStr">
        <is>
          <t>A</t>
        </is>
      </c>
      <c r="D82" s="12" t="n">
        <v>1.0753</v>
      </c>
      <c r="E82" s="12" t="n">
        <v>1.4251</v>
      </c>
      <c r="F82" s="9" t="n">
        <v>7</v>
      </c>
      <c r="G82" s="25" t="n">
        <v>0.95</v>
      </c>
      <c r="H82" s="26" t="n">
        <v>1.65</v>
      </c>
      <c r="I82" s="12">
        <f>ROUND(D82*F82, 2)</f>
        <v/>
      </c>
      <c r="J82" s="27">
        <f>ROUND(H82*E82*SQRT(F82), 2)</f>
        <v/>
      </c>
      <c r="K82" s="27">
        <f>ROUND(I82+J82, 2)</f>
        <v/>
      </c>
      <c r="L82" s="20" t="inlineStr">
        <is>
          <t>Bi-Weekly Review + Safety Buffer | Monitor Demand Spikes Closely</t>
        </is>
      </c>
    </row>
    <row r="83">
      <c r="B83" s="9" t="inlineStr">
        <is>
          <t>FOODS_1_031</t>
        </is>
      </c>
      <c r="C83" s="18" t="inlineStr">
        <is>
          <t>A</t>
        </is>
      </c>
      <c r="D83" s="12" t="n">
        <v>1.0711</v>
      </c>
      <c r="E83" s="12" t="n">
        <v>1.7342</v>
      </c>
      <c r="F83" s="9" t="n">
        <v>7</v>
      </c>
      <c r="G83" s="25" t="n">
        <v>0.95</v>
      </c>
      <c r="H83" s="26" t="n">
        <v>1.65</v>
      </c>
      <c r="I83" s="12">
        <f>ROUND(D83*F83, 2)</f>
        <v/>
      </c>
      <c r="J83" s="27">
        <f>ROUND(H83*E83*SQRT(F83), 2)</f>
        <v/>
      </c>
      <c r="K83" s="27">
        <f>ROUND(I83+J83, 2)</f>
        <v/>
      </c>
      <c r="L83" s="20" t="inlineStr">
        <is>
          <t>Bi-Weekly Review + Safety Buffer | Monitor Demand Spikes Closely</t>
        </is>
      </c>
    </row>
    <row r="84">
      <c r="B84" s="9" t="inlineStr">
        <is>
          <t>FOODS_1_037</t>
        </is>
      </c>
      <c r="C84" s="18" t="inlineStr">
        <is>
          <t>A</t>
        </is>
      </c>
      <c r="D84" s="12" t="n">
        <v>1.0685</v>
      </c>
      <c r="E84" s="12" t="n">
        <v>1.985</v>
      </c>
      <c r="F84" s="9" t="n">
        <v>7</v>
      </c>
      <c r="G84" s="25" t="n">
        <v>0.95</v>
      </c>
      <c r="H84" s="26" t="n">
        <v>1.65</v>
      </c>
      <c r="I84" s="12">
        <f>ROUND(D84*F84, 2)</f>
        <v/>
      </c>
      <c r="J84" s="27">
        <f>ROUND(H84*E84*SQRT(F84), 2)</f>
        <v/>
      </c>
      <c r="K84" s="27">
        <f>ROUND(I84+J84, 2)</f>
        <v/>
      </c>
      <c r="L84" s="20" t="inlineStr">
        <is>
          <t>Bi-Weekly Review + Safety Buffer | Monitor Demand Spikes Closely</t>
        </is>
      </c>
    </row>
    <row r="85">
      <c r="B85" s="9" t="inlineStr">
        <is>
          <t>FOODS_1_020</t>
        </is>
      </c>
      <c r="C85" s="18" t="inlineStr">
        <is>
          <t>A</t>
        </is>
      </c>
      <c r="D85" s="12" t="n">
        <v>1.0601</v>
      </c>
      <c r="E85" s="12" t="n">
        <v>1.2484</v>
      </c>
      <c r="F85" s="9" t="n">
        <v>7</v>
      </c>
      <c r="G85" s="25" t="n">
        <v>0.95</v>
      </c>
      <c r="H85" s="26" t="n">
        <v>1.65</v>
      </c>
      <c r="I85" s="12">
        <f>ROUND(D85*F85, 2)</f>
        <v/>
      </c>
      <c r="J85" s="27">
        <f>ROUND(H85*E85*SQRT(F85), 2)</f>
        <v/>
      </c>
      <c r="K85" s="27">
        <f>ROUND(I85+J85, 2)</f>
        <v/>
      </c>
      <c r="L85" s="20" t="inlineStr">
        <is>
          <t>Bi-Weekly Review + Safety Buffer | Monitor Demand Spikes Closely</t>
        </is>
      </c>
    </row>
    <row r="86">
      <c r="B86" s="9" t="inlineStr">
        <is>
          <t>FOODS_1_180</t>
        </is>
      </c>
      <c r="C86" s="18" t="inlineStr">
        <is>
          <t>A</t>
        </is>
      </c>
      <c r="D86" s="12" t="n">
        <v>1.0376</v>
      </c>
      <c r="E86" s="12" t="n">
        <v>1.9768</v>
      </c>
      <c r="F86" s="9" t="n">
        <v>7</v>
      </c>
      <c r="G86" s="25" t="n">
        <v>0.95</v>
      </c>
      <c r="H86" s="26" t="n">
        <v>1.65</v>
      </c>
      <c r="I86" s="12">
        <f>ROUND(D86*F86, 2)</f>
        <v/>
      </c>
      <c r="J86" s="27">
        <f>ROUND(H86*E86*SQRT(F86), 2)</f>
        <v/>
      </c>
      <c r="K86" s="27">
        <f>ROUND(I86+J86, 2)</f>
        <v/>
      </c>
      <c r="L86" s="20" t="inlineStr">
        <is>
          <t>Bi-Weekly Review + Safety Buffer | Monitor Demand Spikes Closely</t>
        </is>
      </c>
    </row>
    <row r="87">
      <c r="B87" s="9" t="inlineStr">
        <is>
          <t>FOODS_1_047</t>
        </is>
      </c>
      <c r="C87" s="18" t="inlineStr">
        <is>
          <t>A</t>
        </is>
      </c>
      <c r="D87" s="12" t="n">
        <v>1.012</v>
      </c>
      <c r="E87" s="12" t="n">
        <v>1.4552</v>
      </c>
      <c r="F87" s="9" t="n">
        <v>7</v>
      </c>
      <c r="G87" s="25" t="n">
        <v>0.95</v>
      </c>
      <c r="H87" s="26" t="n">
        <v>1.65</v>
      </c>
      <c r="I87" s="12">
        <f>ROUND(D87*F87, 2)</f>
        <v/>
      </c>
      <c r="J87" s="27">
        <f>ROUND(H87*E87*SQRT(F87), 2)</f>
        <v/>
      </c>
      <c r="K87" s="27">
        <f>ROUND(I87+J87, 2)</f>
        <v/>
      </c>
      <c r="L87" s="20" t="inlineStr">
        <is>
          <t>Bi-Weekly Review + Safety Buffer | Monitor Demand Spikes Closely</t>
        </is>
      </c>
    </row>
    <row r="88">
      <c r="B88" s="9" t="inlineStr">
        <is>
          <t>FOODS_1_195</t>
        </is>
      </c>
      <c r="C88" s="18" t="inlineStr">
        <is>
          <t>A</t>
        </is>
      </c>
      <c r="D88" s="12" t="n">
        <v>1.0042</v>
      </c>
      <c r="E88" s="12" t="n">
        <v>1.4593</v>
      </c>
      <c r="F88" s="9" t="n">
        <v>7</v>
      </c>
      <c r="G88" s="25" t="n">
        <v>0.95</v>
      </c>
      <c r="H88" s="26" t="n">
        <v>1.65</v>
      </c>
      <c r="I88" s="12">
        <f>ROUND(D88*F88, 2)</f>
        <v/>
      </c>
      <c r="J88" s="27">
        <f>ROUND(H88*E88*SQRT(F88), 2)</f>
        <v/>
      </c>
      <c r="K88" s="27">
        <f>ROUND(I88+J88, 2)</f>
        <v/>
      </c>
      <c r="L88" s="20" t="inlineStr">
        <is>
          <t>Bi-Weekly Review + Safety Buffer | Monitor Demand Spikes Closely</t>
        </is>
      </c>
    </row>
    <row r="89">
      <c r="B89" s="9" t="inlineStr">
        <is>
          <t>FOODS_1_174</t>
        </is>
      </c>
      <c r="C89" s="18" t="inlineStr">
        <is>
          <t>A</t>
        </is>
      </c>
      <c r="D89" s="12" t="n">
        <v>0.9749</v>
      </c>
      <c r="E89" s="12" t="n">
        <v>1.2845</v>
      </c>
      <c r="F89" s="9" t="n">
        <v>7</v>
      </c>
      <c r="G89" s="25" t="n">
        <v>0.95</v>
      </c>
      <c r="H89" s="26" t="n">
        <v>1.65</v>
      </c>
      <c r="I89" s="12">
        <f>ROUND(D89*F89, 2)</f>
        <v/>
      </c>
      <c r="J89" s="27">
        <f>ROUND(H89*E89*SQRT(F89), 2)</f>
        <v/>
      </c>
      <c r="K89" s="27">
        <f>ROUND(I89+J89, 2)</f>
        <v/>
      </c>
      <c r="L89" s="20" t="inlineStr">
        <is>
          <t>Bi-Weekly Review + Safety Buffer | Monitor Demand Spikes Closely</t>
        </is>
      </c>
    </row>
    <row r="90">
      <c r="B90" s="9" t="inlineStr">
        <is>
          <t>FOODS_1_152</t>
        </is>
      </c>
      <c r="C90" s="18" t="inlineStr">
        <is>
          <t>A</t>
        </is>
      </c>
      <c r="D90" s="12" t="n">
        <v>0.9336</v>
      </c>
      <c r="E90" s="12" t="n">
        <v>1.2536</v>
      </c>
      <c r="F90" s="9" t="n">
        <v>7</v>
      </c>
      <c r="G90" s="25" t="n">
        <v>0.95</v>
      </c>
      <c r="H90" s="26" t="n">
        <v>1.65</v>
      </c>
      <c r="I90" s="12">
        <f>ROUND(D90*F90, 2)</f>
        <v/>
      </c>
      <c r="J90" s="27">
        <f>ROUND(H90*E90*SQRT(F90), 2)</f>
        <v/>
      </c>
      <c r="K90" s="27">
        <f>ROUND(I90+J90, 2)</f>
        <v/>
      </c>
      <c r="L90" s="20" t="inlineStr">
        <is>
          <t>Bi-Weekly Review + Safety Buffer | Monitor Demand Spikes Closely</t>
        </is>
      </c>
    </row>
    <row r="91">
      <c r="B91" s="9" t="inlineStr">
        <is>
          <t>FOODS_1_075</t>
        </is>
      </c>
      <c r="C91" s="18" t="inlineStr">
        <is>
          <t>A</t>
        </is>
      </c>
      <c r="D91" s="12" t="n">
        <v>0.9174</v>
      </c>
      <c r="E91" s="12" t="n">
        <v>1.5109</v>
      </c>
      <c r="F91" s="9" t="n">
        <v>7</v>
      </c>
      <c r="G91" s="25" t="n">
        <v>0.95</v>
      </c>
      <c r="H91" s="26" t="n">
        <v>1.65</v>
      </c>
      <c r="I91" s="12">
        <f>ROUND(D91*F91, 2)</f>
        <v/>
      </c>
      <c r="J91" s="27">
        <f>ROUND(H91*E91*SQRT(F91), 2)</f>
        <v/>
      </c>
      <c r="K91" s="27">
        <f>ROUND(I91+J91, 2)</f>
        <v/>
      </c>
      <c r="L91" s="20" t="inlineStr">
        <is>
          <t>Bi-Weekly Review + Safety Buffer | Monitor Demand Spikes Closely</t>
        </is>
      </c>
    </row>
    <row r="92">
      <c r="B92" s="9" t="inlineStr">
        <is>
          <t>FOODS_1_108</t>
        </is>
      </c>
      <c r="C92" s="18" t="inlineStr">
        <is>
          <t>A</t>
        </is>
      </c>
      <c r="D92" s="12" t="n">
        <v>0.897</v>
      </c>
      <c r="E92" s="12" t="n">
        <v>1.3685</v>
      </c>
      <c r="F92" s="9" t="n">
        <v>7</v>
      </c>
      <c r="G92" s="25" t="n">
        <v>0.95</v>
      </c>
      <c r="H92" s="26" t="n">
        <v>1.65</v>
      </c>
      <c r="I92" s="12">
        <f>ROUND(D92*F92, 2)</f>
        <v/>
      </c>
      <c r="J92" s="27">
        <f>ROUND(H92*E92*SQRT(F92), 2)</f>
        <v/>
      </c>
      <c r="K92" s="27">
        <f>ROUND(I92+J92, 2)</f>
        <v/>
      </c>
      <c r="L92" s="20" t="inlineStr">
        <is>
          <t>Bi-Weekly Review + Safety Buffer | Monitor Demand Spikes Closely</t>
        </is>
      </c>
    </row>
    <row r="93">
      <c r="B93" s="9" t="inlineStr">
        <is>
          <t>FOODS_1_114</t>
        </is>
      </c>
      <c r="C93" s="18" t="inlineStr">
        <is>
          <t>A</t>
        </is>
      </c>
      <c r="D93" s="12" t="n">
        <v>0.8798</v>
      </c>
      <c r="E93" s="12" t="n">
        <v>1.2844</v>
      </c>
      <c r="F93" s="9" t="n">
        <v>7</v>
      </c>
      <c r="G93" s="25" t="n">
        <v>0.95</v>
      </c>
      <c r="H93" s="26" t="n">
        <v>1.65</v>
      </c>
      <c r="I93" s="12">
        <f>ROUND(D93*F93, 2)</f>
        <v/>
      </c>
      <c r="J93" s="27">
        <f>ROUND(H93*E93*SQRT(F93), 2)</f>
        <v/>
      </c>
      <c r="K93" s="27">
        <f>ROUND(I93+J93, 2)</f>
        <v/>
      </c>
      <c r="L93" s="20" t="inlineStr">
        <is>
          <t>Bi-Weekly Review + Safety Buffer | Monitor Demand Spikes Closely</t>
        </is>
      </c>
    </row>
    <row r="94">
      <c r="B94" s="9" t="inlineStr">
        <is>
          <t>FOODS_1_090</t>
        </is>
      </c>
      <c r="C94" s="18" t="inlineStr">
        <is>
          <t>A</t>
        </is>
      </c>
      <c r="D94" s="12" t="n">
        <v>0.8798</v>
      </c>
      <c r="E94" s="12" t="n">
        <v>1.7441</v>
      </c>
      <c r="F94" s="9" t="n">
        <v>7</v>
      </c>
      <c r="G94" s="25" t="n">
        <v>0.95</v>
      </c>
      <c r="H94" s="26" t="n">
        <v>1.65</v>
      </c>
      <c r="I94" s="12">
        <f>ROUND(D94*F94, 2)</f>
        <v/>
      </c>
      <c r="J94" s="27">
        <f>ROUND(H94*E94*SQRT(F94), 2)</f>
        <v/>
      </c>
      <c r="K94" s="27">
        <f>ROUND(I94+J94, 2)</f>
        <v/>
      </c>
      <c r="L94" s="20" t="inlineStr">
        <is>
          <t>Bi-Weekly Review + Safety Buffer | Monitor Demand Spikes Closely</t>
        </is>
      </c>
    </row>
    <row r="95">
      <c r="B95" s="9" t="inlineStr">
        <is>
          <t>FOODS_1_081</t>
        </is>
      </c>
      <c r="C95" s="18" t="inlineStr">
        <is>
          <t>A</t>
        </is>
      </c>
      <c r="D95" s="12" t="n">
        <v>0.8725000000000001</v>
      </c>
      <c r="E95" s="12" t="n">
        <v>1.6227</v>
      </c>
      <c r="F95" s="9" t="n">
        <v>7</v>
      </c>
      <c r="G95" s="25" t="n">
        <v>0.95</v>
      </c>
      <c r="H95" s="26" t="n">
        <v>1.65</v>
      </c>
      <c r="I95" s="12">
        <f>ROUND(D95*F95, 2)</f>
        <v/>
      </c>
      <c r="J95" s="27">
        <f>ROUND(H95*E95*SQRT(F95), 2)</f>
        <v/>
      </c>
      <c r="K95" s="27">
        <f>ROUND(I95+J95, 2)</f>
        <v/>
      </c>
      <c r="L95" s="20" t="inlineStr">
        <is>
          <t>Bi-Weekly Review + Safety Buffer | Monitor Demand Spikes Closely</t>
        </is>
      </c>
    </row>
    <row r="96">
      <c r="B96" s="9" t="inlineStr">
        <is>
          <t>FOODS_1_177</t>
        </is>
      </c>
      <c r="C96" s="18" t="inlineStr">
        <is>
          <t>A</t>
        </is>
      </c>
      <c r="D96" s="12" t="n">
        <v>0.8625</v>
      </c>
      <c r="E96" s="12" t="n">
        <v>1.1614</v>
      </c>
      <c r="F96" s="9" t="n">
        <v>7</v>
      </c>
      <c r="G96" s="25" t="n">
        <v>0.95</v>
      </c>
      <c r="H96" s="26" t="n">
        <v>1.65</v>
      </c>
      <c r="I96" s="12">
        <f>ROUND(D96*F96, 2)</f>
        <v/>
      </c>
      <c r="J96" s="27">
        <f>ROUND(H96*E96*SQRT(F96), 2)</f>
        <v/>
      </c>
      <c r="K96" s="27">
        <f>ROUND(I96+J96, 2)</f>
        <v/>
      </c>
      <c r="L96" s="20" t="inlineStr">
        <is>
          <t>Bi-Weekly Review + Safety Buffer | Monitor Demand Spikes Closely</t>
        </is>
      </c>
    </row>
    <row r="97">
      <c r="B97" s="9" t="inlineStr">
        <is>
          <t>FOODS_1_133</t>
        </is>
      </c>
      <c r="C97" s="18" t="inlineStr">
        <is>
          <t>A</t>
        </is>
      </c>
      <c r="D97" s="12" t="n">
        <v>0.8589</v>
      </c>
      <c r="E97" s="12" t="n">
        <v>1.8355</v>
      </c>
      <c r="F97" s="9" t="n">
        <v>7</v>
      </c>
      <c r="G97" s="25" t="n">
        <v>0.95</v>
      </c>
      <c r="H97" s="26" t="n">
        <v>1.65</v>
      </c>
      <c r="I97" s="12">
        <f>ROUND(D97*F97, 2)</f>
        <v/>
      </c>
      <c r="J97" s="27">
        <f>ROUND(H97*E97*SQRT(F97), 2)</f>
        <v/>
      </c>
      <c r="K97" s="27">
        <f>ROUND(I97+J97, 2)</f>
        <v/>
      </c>
      <c r="L97" s="20" t="inlineStr">
        <is>
          <t>Bi-Weekly Review + Safety Buffer | Monitor Demand Spikes Closely</t>
        </is>
      </c>
    </row>
    <row r="98">
      <c r="B98" s="9" t="inlineStr">
        <is>
          <t>FOODS_1_123</t>
        </is>
      </c>
      <c r="C98" s="18" t="inlineStr">
        <is>
          <t>A</t>
        </is>
      </c>
      <c r="D98" s="12" t="n">
        <v>0.8479</v>
      </c>
      <c r="E98" s="12" t="n">
        <v>1.5656</v>
      </c>
      <c r="F98" s="9" t="n">
        <v>7</v>
      </c>
      <c r="G98" s="25" t="n">
        <v>0.95</v>
      </c>
      <c r="H98" s="26" t="n">
        <v>1.65</v>
      </c>
      <c r="I98" s="12">
        <f>ROUND(D98*F98, 2)</f>
        <v/>
      </c>
      <c r="J98" s="27">
        <f>ROUND(H98*E98*SQRT(F98), 2)</f>
        <v/>
      </c>
      <c r="K98" s="27">
        <f>ROUND(I98+J98, 2)</f>
        <v/>
      </c>
      <c r="L98" s="20" t="inlineStr">
        <is>
          <t>Bi-Weekly Review + Safety Buffer | Monitor Demand Spikes Closely</t>
        </is>
      </c>
    </row>
    <row r="99">
      <c r="B99" s="9" t="inlineStr">
        <is>
          <t>FOODS_1_167</t>
        </is>
      </c>
      <c r="C99" s="18" t="inlineStr">
        <is>
          <t>A</t>
        </is>
      </c>
      <c r="D99" s="12" t="n">
        <v>0.84</v>
      </c>
      <c r="E99" s="12" t="n">
        <v>1.1519</v>
      </c>
      <c r="F99" s="9" t="n">
        <v>7</v>
      </c>
      <c r="G99" s="25" t="n">
        <v>0.95</v>
      </c>
      <c r="H99" s="26" t="n">
        <v>1.65</v>
      </c>
      <c r="I99" s="12">
        <f>ROUND(D99*F99, 2)</f>
        <v/>
      </c>
      <c r="J99" s="27">
        <f>ROUND(H99*E99*SQRT(F99), 2)</f>
        <v/>
      </c>
      <c r="K99" s="27">
        <f>ROUND(I99+J99, 2)</f>
        <v/>
      </c>
      <c r="L99" s="20" t="inlineStr">
        <is>
          <t>Bi-Weekly Review + Safety Buffer | Monitor Demand Spikes Closely</t>
        </is>
      </c>
    </row>
    <row r="100">
      <c r="B100" s="9" t="inlineStr">
        <is>
          <t>FOODS_1_144</t>
        </is>
      </c>
      <c r="C100" s="18" t="inlineStr">
        <is>
          <t>A</t>
        </is>
      </c>
      <c r="D100" s="12" t="n">
        <v>0.8353</v>
      </c>
      <c r="E100" s="12" t="n">
        <v>1.0822</v>
      </c>
      <c r="F100" s="9" t="n">
        <v>7</v>
      </c>
      <c r="G100" s="25" t="n">
        <v>0.95</v>
      </c>
      <c r="H100" s="26" t="n">
        <v>1.65</v>
      </c>
      <c r="I100" s="12">
        <f>ROUND(D100*F100, 2)</f>
        <v/>
      </c>
      <c r="J100" s="27">
        <f>ROUND(H100*E100*SQRT(F100), 2)</f>
        <v/>
      </c>
      <c r="K100" s="27">
        <f>ROUND(I100+J100, 2)</f>
        <v/>
      </c>
      <c r="L100" s="20" t="inlineStr">
        <is>
          <t>Bi-Weekly Review + Safety Buffer | Monitor Demand Spikes Closely</t>
        </is>
      </c>
    </row>
    <row r="101">
      <c r="B101" s="9" t="inlineStr">
        <is>
          <t>FOODS_1_003</t>
        </is>
      </c>
      <c r="C101" s="18" t="inlineStr">
        <is>
          <t>A</t>
        </is>
      </c>
      <c r="D101" s="12" t="n">
        <v>0.8322000000000001</v>
      </c>
      <c r="E101" s="12" t="n">
        <v>1.1632</v>
      </c>
      <c r="F101" s="9" t="n">
        <v>7</v>
      </c>
      <c r="G101" s="25" t="n">
        <v>0.95</v>
      </c>
      <c r="H101" s="26" t="n">
        <v>1.65</v>
      </c>
      <c r="I101" s="12">
        <f>ROUND(D101*F101, 2)</f>
        <v/>
      </c>
      <c r="J101" s="27">
        <f>ROUND(H101*E101*SQRT(F101), 2)</f>
        <v/>
      </c>
      <c r="K101" s="27">
        <f>ROUND(I101+J101, 2)</f>
        <v/>
      </c>
      <c r="L101" s="20" t="inlineStr">
        <is>
          <t>Bi-Weekly Review + Safety Buffer | Monitor Demand Spikes Closely</t>
        </is>
      </c>
    </row>
    <row r="102">
      <c r="B102" s="9" t="inlineStr">
        <is>
          <t>FOODS_1_094</t>
        </is>
      </c>
      <c r="C102" s="18" t="inlineStr">
        <is>
          <t>A</t>
        </is>
      </c>
      <c r="D102" s="12" t="n">
        <v>0.8159999999999999</v>
      </c>
      <c r="E102" s="12" t="n">
        <v>1.2769</v>
      </c>
      <c r="F102" s="9" t="n">
        <v>7</v>
      </c>
      <c r="G102" s="25" t="n">
        <v>0.95</v>
      </c>
      <c r="H102" s="26" t="n">
        <v>1.65</v>
      </c>
      <c r="I102" s="12">
        <f>ROUND(D102*F102, 2)</f>
        <v/>
      </c>
      <c r="J102" s="27">
        <f>ROUND(H102*E102*SQRT(F102), 2)</f>
        <v/>
      </c>
      <c r="K102" s="27">
        <f>ROUND(I102+J102, 2)</f>
        <v/>
      </c>
      <c r="L102" s="20" t="inlineStr">
        <is>
          <t>Bi-Weekly Review + Safety Buffer | Monitor Demand Spikes Closely</t>
        </is>
      </c>
    </row>
    <row r="103">
      <c r="B103" s="9" t="inlineStr">
        <is>
          <t>FOODS_1_214</t>
        </is>
      </c>
      <c r="C103" s="18" t="inlineStr">
        <is>
          <t>A</t>
        </is>
      </c>
      <c r="D103" s="12" t="n">
        <v>0.7967</v>
      </c>
      <c r="E103" s="12" t="n">
        <v>1.0697</v>
      </c>
      <c r="F103" s="9" t="n">
        <v>7</v>
      </c>
      <c r="G103" s="25" t="n">
        <v>0.95</v>
      </c>
      <c r="H103" s="26" t="n">
        <v>1.65</v>
      </c>
      <c r="I103" s="12">
        <f>ROUND(D103*F103, 2)</f>
        <v/>
      </c>
      <c r="J103" s="27">
        <f>ROUND(H103*E103*SQRT(F103), 2)</f>
        <v/>
      </c>
      <c r="K103" s="27">
        <f>ROUND(I103+J103, 2)</f>
        <v/>
      </c>
      <c r="L103" s="20" t="inlineStr">
        <is>
          <t>Bi-Weekly Review + Safety Buffer | Monitor Demand Spikes Closely</t>
        </is>
      </c>
    </row>
    <row r="104">
      <c r="B104" s="9" t="inlineStr">
        <is>
          <t>FOODS_1_076</t>
        </is>
      </c>
      <c r="C104" s="18" t="inlineStr">
        <is>
          <t>A</t>
        </is>
      </c>
      <c r="D104" s="12" t="n">
        <v>0.7862</v>
      </c>
      <c r="E104" s="12" t="n">
        <v>1.0165</v>
      </c>
      <c r="F104" s="9" t="n">
        <v>7</v>
      </c>
      <c r="G104" s="25" t="n">
        <v>0.95</v>
      </c>
      <c r="H104" s="26" t="n">
        <v>1.65</v>
      </c>
      <c r="I104" s="12">
        <f>ROUND(D104*F104, 2)</f>
        <v/>
      </c>
      <c r="J104" s="27">
        <f>ROUND(H104*E104*SQRT(F104), 2)</f>
        <v/>
      </c>
      <c r="K104" s="27">
        <f>ROUND(I104+J104, 2)</f>
        <v/>
      </c>
      <c r="L104" s="20" t="inlineStr">
        <is>
          <t>Bi-Weekly Review + Safety Buffer | Monitor Demand Spikes Closely</t>
        </is>
      </c>
    </row>
    <row r="105">
      <c r="B105" s="9" t="inlineStr">
        <is>
          <t>FOODS_1_216</t>
        </is>
      </c>
      <c r="C105" s="18" t="inlineStr">
        <is>
          <t>A</t>
        </is>
      </c>
      <c r="D105" s="12" t="n">
        <v>0.7763</v>
      </c>
      <c r="E105" s="12" t="n">
        <v>1.3006</v>
      </c>
      <c r="F105" s="9" t="n">
        <v>7</v>
      </c>
      <c r="G105" s="25" t="n">
        <v>0.95</v>
      </c>
      <c r="H105" s="26" t="n">
        <v>1.65</v>
      </c>
      <c r="I105" s="12">
        <f>ROUND(D105*F105, 2)</f>
        <v/>
      </c>
      <c r="J105" s="27">
        <f>ROUND(H105*E105*SQRT(F105), 2)</f>
        <v/>
      </c>
      <c r="K105" s="27">
        <f>ROUND(I105+J105, 2)</f>
        <v/>
      </c>
      <c r="L105" s="20" t="inlineStr">
        <is>
          <t>Bi-Weekly Review + Safety Buffer | Monitor Demand Spikes Closely</t>
        </is>
      </c>
    </row>
    <row r="106">
      <c r="B106" s="9" t="inlineStr">
        <is>
          <t>FOODS_1_080</t>
        </is>
      </c>
      <c r="C106" s="18" t="inlineStr">
        <is>
          <t>A</t>
        </is>
      </c>
      <c r="D106" s="12" t="n">
        <v>0.7747000000000001</v>
      </c>
      <c r="E106" s="12" t="n">
        <v>1.1683</v>
      </c>
      <c r="F106" s="9" t="n">
        <v>7</v>
      </c>
      <c r="G106" s="25" t="n">
        <v>0.95</v>
      </c>
      <c r="H106" s="26" t="n">
        <v>1.65</v>
      </c>
      <c r="I106" s="12">
        <f>ROUND(D106*F106, 2)</f>
        <v/>
      </c>
      <c r="J106" s="27">
        <f>ROUND(H106*E106*SQRT(F106), 2)</f>
        <v/>
      </c>
      <c r="K106" s="27">
        <f>ROUND(I106+J106, 2)</f>
        <v/>
      </c>
      <c r="L106" s="20" t="inlineStr">
        <is>
          <t>Bi-Weekly Review + Safety Buffer | Monitor Demand Spikes Closely</t>
        </is>
      </c>
    </row>
    <row r="107">
      <c r="B107" s="9" t="inlineStr">
        <is>
          <t>FOODS_1_175</t>
        </is>
      </c>
      <c r="C107" s="18" t="inlineStr">
        <is>
          <t>A</t>
        </is>
      </c>
      <c r="D107" s="12" t="n">
        <v>0.7674</v>
      </c>
      <c r="E107" s="12" t="n">
        <v>1.2139</v>
      </c>
      <c r="F107" s="9" t="n">
        <v>7</v>
      </c>
      <c r="G107" s="25" t="n">
        <v>0.95</v>
      </c>
      <c r="H107" s="26" t="n">
        <v>1.65</v>
      </c>
      <c r="I107" s="12">
        <f>ROUND(D107*F107, 2)</f>
        <v/>
      </c>
      <c r="J107" s="27">
        <f>ROUND(H107*E107*SQRT(F107), 2)</f>
        <v/>
      </c>
      <c r="K107" s="27">
        <f>ROUND(I107+J107, 2)</f>
        <v/>
      </c>
      <c r="L107" s="20" t="inlineStr">
        <is>
          <t>Bi-Weekly Review + Safety Buffer | Monitor Demand Spikes Closely</t>
        </is>
      </c>
    </row>
    <row r="108">
      <c r="B108" s="9" t="inlineStr">
        <is>
          <t>FOODS_1_115</t>
        </is>
      </c>
      <c r="C108" s="18" t="inlineStr">
        <is>
          <t>A</t>
        </is>
      </c>
      <c r="D108" s="12" t="n">
        <v>0.7067</v>
      </c>
      <c r="E108" s="12" t="n">
        <v>1.4515</v>
      </c>
      <c r="F108" s="9" t="n">
        <v>7</v>
      </c>
      <c r="G108" s="25" t="n">
        <v>0.95</v>
      </c>
      <c r="H108" s="26" t="n">
        <v>1.65</v>
      </c>
      <c r="I108" s="12">
        <f>ROUND(D108*F108, 2)</f>
        <v/>
      </c>
      <c r="J108" s="27">
        <f>ROUND(H108*E108*SQRT(F108), 2)</f>
        <v/>
      </c>
      <c r="K108" s="27">
        <f>ROUND(I108+J108, 2)</f>
        <v/>
      </c>
      <c r="L108" s="20" t="inlineStr">
        <is>
          <t>Bi-Weekly Review + Safety Buffer | Monitor Demand Spikes Closely</t>
        </is>
      </c>
    </row>
    <row r="109">
      <c r="B109" s="9" t="inlineStr">
        <is>
          <t>FOODS_1_128</t>
        </is>
      </c>
      <c r="C109" s="18" t="inlineStr">
        <is>
          <t>A</t>
        </is>
      </c>
      <c r="D109" s="12" t="n">
        <v>0.702</v>
      </c>
      <c r="E109" s="12" t="n">
        <v>1.2438</v>
      </c>
      <c r="F109" s="9" t="n">
        <v>7</v>
      </c>
      <c r="G109" s="25" t="n">
        <v>0.95</v>
      </c>
      <c r="H109" s="26" t="n">
        <v>1.65</v>
      </c>
      <c r="I109" s="12">
        <f>ROUND(D109*F109, 2)</f>
        <v/>
      </c>
      <c r="J109" s="27">
        <f>ROUND(H109*E109*SQRT(F109), 2)</f>
        <v/>
      </c>
      <c r="K109" s="27">
        <f>ROUND(I109+J109, 2)</f>
        <v/>
      </c>
      <c r="L109" s="20" t="inlineStr">
        <is>
          <t>Bi-Weekly Review + Safety Buffer | Monitor Demand Spikes Closely</t>
        </is>
      </c>
    </row>
    <row r="110">
      <c r="B110" s="9" t="inlineStr">
        <is>
          <t>FOODS_1_141</t>
        </is>
      </c>
      <c r="C110" s="18" t="inlineStr">
        <is>
          <t>A</t>
        </is>
      </c>
      <c r="D110" s="12" t="n">
        <v>0.6806</v>
      </c>
      <c r="E110" s="12" t="n">
        <v>1.043</v>
      </c>
      <c r="F110" s="9" t="n">
        <v>7</v>
      </c>
      <c r="G110" s="25" t="n">
        <v>0.95</v>
      </c>
      <c r="H110" s="26" t="n">
        <v>1.65</v>
      </c>
      <c r="I110" s="12">
        <f>ROUND(D110*F110, 2)</f>
        <v/>
      </c>
      <c r="J110" s="27">
        <f>ROUND(H110*E110*SQRT(F110), 2)</f>
        <v/>
      </c>
      <c r="K110" s="27">
        <f>ROUND(I110+J110, 2)</f>
        <v/>
      </c>
      <c r="L110" s="20" t="inlineStr">
        <is>
          <t>Bi-Weekly Review + Safety Buffer | Monitor Demand Spikes Closely</t>
        </is>
      </c>
    </row>
    <row r="111">
      <c r="B111" s="9" t="inlineStr">
        <is>
          <t>FOODS_1_140</t>
        </is>
      </c>
      <c r="C111" s="18" t="inlineStr">
        <is>
          <t>A</t>
        </is>
      </c>
      <c r="D111" s="12" t="n">
        <v>0.6602</v>
      </c>
      <c r="E111" s="12" t="n">
        <v>1.0483</v>
      </c>
      <c r="F111" s="9" t="n">
        <v>7</v>
      </c>
      <c r="G111" s="25" t="n">
        <v>0.95</v>
      </c>
      <c r="H111" s="26" t="n">
        <v>1.65</v>
      </c>
      <c r="I111" s="12">
        <f>ROUND(D111*F111, 2)</f>
        <v/>
      </c>
      <c r="J111" s="27">
        <f>ROUND(H111*E111*SQRT(F111), 2)</f>
        <v/>
      </c>
      <c r="K111" s="27">
        <f>ROUND(I111+J111, 2)</f>
        <v/>
      </c>
      <c r="L111" s="20" t="inlineStr">
        <is>
          <t>Bi-Weekly Review + Safety Buffer | Monitor Demand Spikes Closely</t>
        </is>
      </c>
    </row>
    <row r="112">
      <c r="B112" s="9" t="inlineStr">
        <is>
          <t>FOODS_1_065</t>
        </is>
      </c>
      <c r="C112" s="18" t="inlineStr">
        <is>
          <t>A</t>
        </is>
      </c>
      <c r="D112" s="12" t="n">
        <v>0.6534</v>
      </c>
      <c r="E112" s="12" t="n">
        <v>1.1193</v>
      </c>
      <c r="F112" s="9" t="n">
        <v>7</v>
      </c>
      <c r="G112" s="25" t="n">
        <v>0.95</v>
      </c>
      <c r="H112" s="26" t="n">
        <v>1.65</v>
      </c>
      <c r="I112" s="12">
        <f>ROUND(D112*F112, 2)</f>
        <v/>
      </c>
      <c r="J112" s="27">
        <f>ROUND(H112*E112*SQRT(F112), 2)</f>
        <v/>
      </c>
      <c r="K112" s="27">
        <f>ROUND(I112+J112, 2)</f>
        <v/>
      </c>
      <c r="L112" s="20" t="inlineStr">
        <is>
          <t>Bi-Weekly Review + Safety Buffer | Monitor Demand Spikes Closely</t>
        </is>
      </c>
    </row>
    <row r="113">
      <c r="B113" s="9" t="inlineStr">
        <is>
          <t>FOODS_1_178</t>
        </is>
      </c>
      <c r="C113" s="18" t="inlineStr">
        <is>
          <t>A</t>
        </is>
      </c>
      <c r="D113" s="12" t="n">
        <v>0.6419</v>
      </c>
      <c r="E113" s="12" t="n">
        <v>0.9101</v>
      </c>
      <c r="F113" s="9" t="n">
        <v>7</v>
      </c>
      <c r="G113" s="25" t="n">
        <v>0.95</v>
      </c>
      <c r="H113" s="26" t="n">
        <v>1.65</v>
      </c>
      <c r="I113" s="12">
        <f>ROUND(D113*F113, 2)</f>
        <v/>
      </c>
      <c r="J113" s="27">
        <f>ROUND(H113*E113*SQRT(F113), 2)</f>
        <v/>
      </c>
      <c r="K113" s="27">
        <f>ROUND(I113+J113, 2)</f>
        <v/>
      </c>
      <c r="L113" s="20" t="inlineStr">
        <is>
          <t>Bi-Weekly Review + Safety Buffer | Monitor Demand Spikes Closely</t>
        </is>
      </c>
    </row>
    <row r="114">
      <c r="B114" s="9" t="inlineStr">
        <is>
          <t>FOODS_1_136</t>
        </is>
      </c>
      <c r="C114" s="18" t="inlineStr">
        <is>
          <t>A</t>
        </is>
      </c>
      <c r="D114" s="12" t="n">
        <v>0.6173999999999999</v>
      </c>
      <c r="E114" s="12" t="n">
        <v>1.1278</v>
      </c>
      <c r="F114" s="9" t="n">
        <v>7</v>
      </c>
      <c r="G114" s="25" t="n">
        <v>0.95</v>
      </c>
      <c r="H114" s="26" t="n">
        <v>1.65</v>
      </c>
      <c r="I114" s="12">
        <f>ROUND(D114*F114, 2)</f>
        <v/>
      </c>
      <c r="J114" s="27">
        <f>ROUND(H114*E114*SQRT(F114), 2)</f>
        <v/>
      </c>
      <c r="K114" s="27">
        <f>ROUND(I114+J114, 2)</f>
        <v/>
      </c>
      <c r="L114" s="20" t="inlineStr">
        <is>
          <t>Bi-Weekly Review + Safety Buffer | Monitor Demand Spikes Closely</t>
        </is>
      </c>
    </row>
    <row r="115">
      <c r="B115" s="9" t="inlineStr">
        <is>
          <t>FOODS_1_062</t>
        </is>
      </c>
      <c r="C115" s="18" t="inlineStr">
        <is>
          <t>A</t>
        </is>
      </c>
      <c r="D115" s="12" t="n">
        <v>0.5776</v>
      </c>
      <c r="E115" s="12" t="n">
        <v>0.9986</v>
      </c>
      <c r="F115" s="9" t="n">
        <v>7</v>
      </c>
      <c r="G115" s="25" t="n">
        <v>0.95</v>
      </c>
      <c r="H115" s="26" t="n">
        <v>1.65</v>
      </c>
      <c r="I115" s="12">
        <f>ROUND(D115*F115, 2)</f>
        <v/>
      </c>
      <c r="J115" s="27">
        <f>ROUND(H115*E115*SQRT(F115), 2)</f>
        <v/>
      </c>
      <c r="K115" s="27">
        <f>ROUND(I115+J115, 2)</f>
        <v/>
      </c>
      <c r="L115" s="20" t="inlineStr">
        <is>
          <t>Bi-Weekly Review + Safety Buffer | Monitor Demand Spikes Closely</t>
        </is>
      </c>
    </row>
    <row r="116">
      <c r="B116" s="9" t="inlineStr">
        <is>
          <t>FOODS_1_038</t>
        </is>
      </c>
      <c r="C116" s="18" t="inlineStr">
        <is>
          <t>A</t>
        </is>
      </c>
      <c r="D116" s="12" t="n">
        <v>0.5405</v>
      </c>
      <c r="E116" s="12" t="n">
        <v>0.9024</v>
      </c>
      <c r="F116" s="9" t="n">
        <v>7</v>
      </c>
      <c r="G116" s="25" t="n">
        <v>0.95</v>
      </c>
      <c r="H116" s="26" t="n">
        <v>1.65</v>
      </c>
      <c r="I116" s="12">
        <f>ROUND(D116*F116, 2)</f>
        <v/>
      </c>
      <c r="J116" s="27">
        <f>ROUND(H116*E116*SQRT(F116), 2)</f>
        <v/>
      </c>
      <c r="K116" s="27">
        <f>ROUND(I116+J116, 2)</f>
        <v/>
      </c>
      <c r="L116" s="20" t="inlineStr">
        <is>
          <t>Bi-Weekly Review + Safety Buffer | Monitor Demand Spikes Closely</t>
        </is>
      </c>
    </row>
    <row r="117">
      <c r="B117" s="9" t="inlineStr">
        <is>
          <t>FOODS_1_050</t>
        </is>
      </c>
      <c r="C117" s="18" t="inlineStr">
        <is>
          <t>A</t>
        </is>
      </c>
      <c r="D117" s="12" t="n">
        <v>0.5154</v>
      </c>
      <c r="E117" s="12" t="n">
        <v>0.9958</v>
      </c>
      <c r="F117" s="9" t="n">
        <v>7</v>
      </c>
      <c r="G117" s="25" t="n">
        <v>0.95</v>
      </c>
      <c r="H117" s="26" t="n">
        <v>1.65</v>
      </c>
      <c r="I117" s="12">
        <f>ROUND(D117*F117, 2)</f>
        <v/>
      </c>
      <c r="J117" s="27">
        <f>ROUND(H117*E117*SQRT(F117), 2)</f>
        <v/>
      </c>
      <c r="K117" s="27">
        <f>ROUND(I117+J117, 2)</f>
        <v/>
      </c>
      <c r="L117" s="20" t="inlineStr">
        <is>
          <t>Bi-Weekly Review + Safety Buffer | Monitor Demand Spikes Closely</t>
        </is>
      </c>
    </row>
    <row r="118">
      <c r="B118" s="9" t="inlineStr">
        <is>
          <t>FOODS_1_026</t>
        </is>
      </c>
      <c r="C118" s="18" t="inlineStr">
        <is>
          <t>A</t>
        </is>
      </c>
      <c r="D118" s="12" t="n">
        <v>0.5107</v>
      </c>
      <c r="E118" s="12" t="n">
        <v>0.8928</v>
      </c>
      <c r="F118" s="9" t="n">
        <v>7</v>
      </c>
      <c r="G118" s="25" t="n">
        <v>0.95</v>
      </c>
      <c r="H118" s="26" t="n">
        <v>1.65</v>
      </c>
      <c r="I118" s="12">
        <f>ROUND(D118*F118, 2)</f>
        <v/>
      </c>
      <c r="J118" s="27">
        <f>ROUND(H118*E118*SQRT(F118), 2)</f>
        <v/>
      </c>
      <c r="K118" s="27">
        <f>ROUND(I118+J118, 2)</f>
        <v/>
      </c>
      <c r="L118" s="20" t="inlineStr">
        <is>
          <t>Bi-Weekly Review + Safety Buffer | Monitor Demand Spikes Closely</t>
        </is>
      </c>
    </row>
    <row r="119">
      <c r="B119" s="9" t="inlineStr">
        <is>
          <t>FOODS_1_002</t>
        </is>
      </c>
      <c r="C119" s="18" t="inlineStr">
        <is>
          <t>A</t>
        </is>
      </c>
      <c r="D119" s="12" t="n">
        <v>0.4778</v>
      </c>
      <c r="E119" s="12" t="n">
        <v>0.8038</v>
      </c>
      <c r="F119" s="9" t="n">
        <v>7</v>
      </c>
      <c r="G119" s="25" t="n">
        <v>0.95</v>
      </c>
      <c r="H119" s="26" t="n">
        <v>1.65</v>
      </c>
      <c r="I119" s="12">
        <f>ROUND(D119*F119, 2)</f>
        <v/>
      </c>
      <c r="J119" s="27">
        <f>ROUND(H119*E119*SQRT(F119), 2)</f>
        <v/>
      </c>
      <c r="K119" s="27">
        <f>ROUND(I119+J119, 2)</f>
        <v/>
      </c>
      <c r="L119" s="20" t="inlineStr">
        <is>
          <t>Bi-Weekly Review + Safety Buffer | Monitor Demand Spikes Closely</t>
        </is>
      </c>
    </row>
    <row r="120">
      <c r="B120" s="9" t="inlineStr">
        <is>
          <t>FOODS_1_205</t>
        </is>
      </c>
      <c r="C120" s="18" t="inlineStr">
        <is>
          <t>A</t>
        </is>
      </c>
      <c r="D120" s="12" t="n">
        <v>0.4626</v>
      </c>
      <c r="E120" s="12" t="n">
        <v>0.8401</v>
      </c>
      <c r="F120" s="9" t="n">
        <v>7</v>
      </c>
      <c r="G120" s="25" t="n">
        <v>0.95</v>
      </c>
      <c r="H120" s="26" t="n">
        <v>1.65</v>
      </c>
      <c r="I120" s="12">
        <f>ROUND(D120*F120, 2)</f>
        <v/>
      </c>
      <c r="J120" s="27">
        <f>ROUND(H120*E120*SQRT(F120), 2)</f>
        <v/>
      </c>
      <c r="K120" s="27">
        <f>ROUND(I120+J120, 2)</f>
        <v/>
      </c>
      <c r="L120" s="20" t="inlineStr">
        <is>
          <t>Bi-Weekly Review + Safety Buffer | Monitor Demand Spikes Closely</t>
        </is>
      </c>
    </row>
    <row r="121">
      <c r="B121" s="9" t="inlineStr">
        <is>
          <t>FOODS_1_199</t>
        </is>
      </c>
      <c r="C121" s="18" t="inlineStr">
        <is>
          <t>A</t>
        </is>
      </c>
      <c r="D121" s="12" t="n">
        <v>0.4339</v>
      </c>
      <c r="E121" s="12" t="n">
        <v>0.9942</v>
      </c>
      <c r="F121" s="9" t="n">
        <v>7</v>
      </c>
      <c r="G121" s="25" t="n">
        <v>0.95</v>
      </c>
      <c r="H121" s="26" t="n">
        <v>1.65</v>
      </c>
      <c r="I121" s="12">
        <f>ROUND(D121*F121, 2)</f>
        <v/>
      </c>
      <c r="J121" s="27">
        <f>ROUND(H121*E121*SQRT(F121), 2)</f>
        <v/>
      </c>
      <c r="K121" s="27">
        <f>ROUND(I121+J121, 2)</f>
        <v/>
      </c>
      <c r="L121" s="20" t="inlineStr">
        <is>
          <t>Bi-Weekly Review + Safety Buffer | Monitor Demand Spikes Closely</t>
        </is>
      </c>
    </row>
    <row r="122">
      <c r="B122" s="9" t="inlineStr">
        <is>
          <t>FOODS_1_186</t>
        </is>
      </c>
      <c r="C122" s="18" t="inlineStr">
        <is>
          <t>A</t>
        </is>
      </c>
      <c r="D122" s="12" t="n">
        <v>0.4255</v>
      </c>
      <c r="E122" s="12" t="n">
        <v>0.7741</v>
      </c>
      <c r="F122" s="9" t="n">
        <v>7</v>
      </c>
      <c r="G122" s="25" t="n">
        <v>0.95</v>
      </c>
      <c r="H122" s="26" t="n">
        <v>1.65</v>
      </c>
      <c r="I122" s="12">
        <f>ROUND(D122*F122, 2)</f>
        <v/>
      </c>
      <c r="J122" s="27">
        <f>ROUND(H122*E122*SQRT(F122), 2)</f>
        <v/>
      </c>
      <c r="K122" s="27">
        <f>ROUND(I122+J122, 2)</f>
        <v/>
      </c>
      <c r="L122" s="20" t="inlineStr">
        <is>
          <t>Bi-Weekly Review + Safety Buffer | Monitor Demand Spikes Closely</t>
        </is>
      </c>
    </row>
    <row r="123">
      <c r="B123" s="9" t="inlineStr">
        <is>
          <t>FOODS_1_129</t>
        </is>
      </c>
      <c r="C123" s="18" t="inlineStr">
        <is>
          <t>A</t>
        </is>
      </c>
      <c r="D123" s="12" t="n">
        <v>0.4119</v>
      </c>
      <c r="E123" s="12" t="n">
        <v>0.8671</v>
      </c>
      <c r="F123" s="9" t="n">
        <v>7</v>
      </c>
      <c r="G123" s="25" t="n">
        <v>0.95</v>
      </c>
      <c r="H123" s="26" t="n">
        <v>1.65</v>
      </c>
      <c r="I123" s="12">
        <f>ROUND(D123*F123, 2)</f>
        <v/>
      </c>
      <c r="J123" s="27">
        <f>ROUND(H123*E123*SQRT(F123), 2)</f>
        <v/>
      </c>
      <c r="K123" s="27">
        <f>ROUND(I123+J123, 2)</f>
        <v/>
      </c>
      <c r="L123" s="20" t="inlineStr">
        <is>
          <t>Bi-Weekly Review + Safety Buffer | Monitor Demand Spikes Closely</t>
        </is>
      </c>
    </row>
    <row r="124">
      <c r="B124" s="9" t="inlineStr">
        <is>
          <t>FOODS_1_042</t>
        </is>
      </c>
      <c r="C124" s="18" t="inlineStr">
        <is>
          <t>B</t>
        </is>
      </c>
      <c r="D124" s="12" t="n">
        <v>1.9587</v>
      </c>
      <c r="E124" s="12" t="n">
        <v>3.4281</v>
      </c>
      <c r="F124" s="9" t="n">
        <v>7</v>
      </c>
      <c r="G124" s="25" t="n">
        <v>0.9</v>
      </c>
      <c r="H124" s="26" t="n">
        <v>1.28</v>
      </c>
      <c r="I124" s="12">
        <f>ROUND(D124*F124, 2)</f>
        <v/>
      </c>
      <c r="J124" s="27">
        <f>ROUND(H124*E124*SQRT(F124), 2)</f>
        <v/>
      </c>
      <c r="K124" s="27">
        <f>ROUND(I124+J124, 2)</f>
        <v/>
      </c>
      <c r="L124" s="20" t="inlineStr">
        <is>
          <t>Periodic Review (Bi-Weekly) | Standard Reorder Trigger</t>
        </is>
      </c>
    </row>
    <row r="125">
      <c r="B125" s="9" t="inlineStr">
        <is>
          <t>FOODS_1_139</t>
        </is>
      </c>
      <c r="C125" s="18" t="inlineStr">
        <is>
          <t>B</t>
        </is>
      </c>
      <c r="D125" s="12" t="n">
        <v>1.9305</v>
      </c>
      <c r="E125" s="12" t="n">
        <v>2.6414</v>
      </c>
      <c r="F125" s="9" t="n">
        <v>7</v>
      </c>
      <c r="G125" s="25" t="n">
        <v>0.9</v>
      </c>
      <c r="H125" s="26" t="n">
        <v>1.28</v>
      </c>
      <c r="I125" s="12">
        <f>ROUND(D125*F125, 2)</f>
        <v/>
      </c>
      <c r="J125" s="27">
        <f>ROUND(H125*E125*SQRT(F125), 2)</f>
        <v/>
      </c>
      <c r="K125" s="27">
        <f>ROUND(I125+J125, 2)</f>
        <v/>
      </c>
      <c r="L125" s="20" t="inlineStr">
        <is>
          <t>Periodic Review (Bi-Weekly) | Standard Reorder Trigger</t>
        </is>
      </c>
    </row>
    <row r="126">
      <c r="B126" s="9" t="inlineStr">
        <is>
          <t>FOODS_1_204</t>
        </is>
      </c>
      <c r="C126" s="18" t="inlineStr">
        <is>
          <t>B</t>
        </is>
      </c>
      <c r="D126" s="12" t="n">
        <v>1.9226</v>
      </c>
      <c r="E126" s="12" t="n">
        <v>2.9441</v>
      </c>
      <c r="F126" s="9" t="n">
        <v>7</v>
      </c>
      <c r="G126" s="25" t="n">
        <v>0.9</v>
      </c>
      <c r="H126" s="26" t="n">
        <v>1.28</v>
      </c>
      <c r="I126" s="12">
        <f>ROUND(D126*F126, 2)</f>
        <v/>
      </c>
      <c r="J126" s="27">
        <f>ROUND(H126*E126*SQRT(F126), 2)</f>
        <v/>
      </c>
      <c r="K126" s="27">
        <f>ROUND(I126+J126, 2)</f>
        <v/>
      </c>
      <c r="L126" s="20" t="inlineStr">
        <is>
          <t>Periodic Review (Bi-Weekly) | Standard Reorder Trigger</t>
        </is>
      </c>
    </row>
    <row r="127">
      <c r="B127" s="9" t="inlineStr">
        <is>
          <t>FOODS_1_163</t>
        </is>
      </c>
      <c r="C127" s="18" t="inlineStr">
        <is>
          <t>B</t>
        </is>
      </c>
      <c r="D127" s="12" t="n">
        <v>1.9043</v>
      </c>
      <c r="E127" s="12" t="n">
        <v>4.4535</v>
      </c>
      <c r="F127" s="9" t="n">
        <v>7</v>
      </c>
      <c r="G127" s="25" t="n">
        <v>0.9</v>
      </c>
      <c r="H127" s="26" t="n">
        <v>1.28</v>
      </c>
      <c r="I127" s="12">
        <f>ROUND(D127*F127, 2)</f>
        <v/>
      </c>
      <c r="J127" s="27">
        <f>ROUND(H127*E127*SQRT(F127), 2)</f>
        <v/>
      </c>
      <c r="K127" s="27">
        <f>ROUND(I127+J127, 2)</f>
        <v/>
      </c>
      <c r="L127" s="20" t="inlineStr">
        <is>
          <t>Periodic Review (Bi-Weekly) | Standard Reorder Trigger</t>
        </is>
      </c>
    </row>
    <row r="128">
      <c r="B128" s="9" t="inlineStr">
        <is>
          <t>FOODS_1_013</t>
        </is>
      </c>
      <c r="C128" s="18" t="inlineStr">
        <is>
          <t>B</t>
        </is>
      </c>
      <c r="D128" s="12" t="n">
        <v>1.3314</v>
      </c>
      <c r="E128" s="12" t="n">
        <v>2.0391</v>
      </c>
      <c r="F128" s="9" t="n">
        <v>7</v>
      </c>
      <c r="G128" s="25" t="n">
        <v>0.9</v>
      </c>
      <c r="H128" s="26" t="n">
        <v>1.28</v>
      </c>
      <c r="I128" s="12">
        <f>ROUND(D128*F128, 2)</f>
        <v/>
      </c>
      <c r="J128" s="27">
        <f>ROUND(H128*E128*SQRT(F128), 2)</f>
        <v/>
      </c>
      <c r="K128" s="27">
        <f>ROUND(I128+J128, 2)</f>
        <v/>
      </c>
      <c r="L128" s="20" t="inlineStr">
        <is>
          <t>Periodic Review (Bi-Weekly) | Standard Reorder Trigger</t>
        </is>
      </c>
    </row>
    <row r="129">
      <c r="B129" s="9" t="inlineStr">
        <is>
          <t>FOODS_1_066</t>
        </is>
      </c>
      <c r="C129" s="18" t="inlineStr">
        <is>
          <t>B</t>
        </is>
      </c>
      <c r="D129" s="12" t="n">
        <v>1.3241</v>
      </c>
      <c r="E129" s="12" t="n">
        <v>1.8657</v>
      </c>
      <c r="F129" s="9" t="n">
        <v>7</v>
      </c>
      <c r="G129" s="25" t="n">
        <v>0.9</v>
      </c>
      <c r="H129" s="26" t="n">
        <v>1.28</v>
      </c>
      <c r="I129" s="12">
        <f>ROUND(D129*F129, 2)</f>
        <v/>
      </c>
      <c r="J129" s="27">
        <f>ROUND(H129*E129*SQRT(F129), 2)</f>
        <v/>
      </c>
      <c r="K129" s="27">
        <f>ROUND(I129+J129, 2)</f>
        <v/>
      </c>
      <c r="L129" s="20" t="inlineStr">
        <is>
          <t>Periodic Review (Bi-Weekly) | Standard Reorder Trigger</t>
        </is>
      </c>
    </row>
    <row r="130">
      <c r="B130" s="9" t="inlineStr">
        <is>
          <t>FOODS_1_190</t>
        </is>
      </c>
      <c r="C130" s="18" t="inlineStr">
        <is>
          <t>B</t>
        </is>
      </c>
      <c r="D130" s="12" t="n">
        <v>1.1688</v>
      </c>
      <c r="E130" s="12" t="n">
        <v>2.1908</v>
      </c>
      <c r="F130" s="9" t="n">
        <v>7</v>
      </c>
      <c r="G130" s="25" t="n">
        <v>0.9</v>
      </c>
      <c r="H130" s="26" t="n">
        <v>1.28</v>
      </c>
      <c r="I130" s="12">
        <f>ROUND(D130*F130, 2)</f>
        <v/>
      </c>
      <c r="J130" s="27">
        <f>ROUND(H130*E130*SQRT(F130), 2)</f>
        <v/>
      </c>
      <c r="K130" s="27">
        <f>ROUND(I130+J130, 2)</f>
        <v/>
      </c>
      <c r="L130" s="20" t="inlineStr">
        <is>
          <t>Periodic Review (Bi-Weekly) | Standard Reorder Trigger</t>
        </is>
      </c>
    </row>
    <row r="131">
      <c r="B131" s="9" t="inlineStr">
        <is>
          <t>FOODS_1_215</t>
        </is>
      </c>
      <c r="C131" s="18" t="inlineStr">
        <is>
          <t>B</t>
        </is>
      </c>
      <c r="D131" s="12" t="n">
        <v>1.1009</v>
      </c>
      <c r="E131" s="12" t="n">
        <v>1.9237</v>
      </c>
      <c r="F131" s="9" t="n">
        <v>7</v>
      </c>
      <c r="G131" s="25" t="n">
        <v>0.9</v>
      </c>
      <c r="H131" s="26" t="n">
        <v>1.28</v>
      </c>
      <c r="I131" s="12">
        <f>ROUND(D131*F131, 2)</f>
        <v/>
      </c>
      <c r="J131" s="27">
        <f>ROUND(H131*E131*SQRT(F131), 2)</f>
        <v/>
      </c>
      <c r="K131" s="27">
        <f>ROUND(I131+J131, 2)</f>
        <v/>
      </c>
      <c r="L131" s="20" t="inlineStr">
        <is>
          <t>Periodic Review (Bi-Weekly) | Standard Reorder Trigger</t>
        </is>
      </c>
    </row>
    <row r="132">
      <c r="B132" s="9" t="inlineStr">
        <is>
          <t>FOODS_1_210</t>
        </is>
      </c>
      <c r="C132" s="18" t="inlineStr">
        <is>
          <t>B</t>
        </is>
      </c>
      <c r="D132" s="12" t="n">
        <v>1.0821</v>
      </c>
      <c r="E132" s="12" t="n">
        <v>1.8947</v>
      </c>
      <c r="F132" s="9" t="n">
        <v>7</v>
      </c>
      <c r="G132" s="25" t="n">
        <v>0.9</v>
      </c>
      <c r="H132" s="26" t="n">
        <v>1.28</v>
      </c>
      <c r="I132" s="12">
        <f>ROUND(D132*F132, 2)</f>
        <v/>
      </c>
      <c r="J132" s="27">
        <f>ROUND(H132*E132*SQRT(F132), 2)</f>
        <v/>
      </c>
      <c r="K132" s="27">
        <f>ROUND(I132+J132, 2)</f>
        <v/>
      </c>
      <c r="L132" s="20" t="inlineStr">
        <is>
          <t>Periodic Review (Bi-Weekly) | Standard Reorder Trigger</t>
        </is>
      </c>
    </row>
    <row r="133">
      <c r="B133" s="9" t="inlineStr">
        <is>
          <t>FOODS_1_105</t>
        </is>
      </c>
      <c r="C133" s="18" t="inlineStr">
        <is>
          <t>B</t>
        </is>
      </c>
      <c r="D133" s="12" t="n">
        <v>1.024</v>
      </c>
      <c r="E133" s="12" t="n">
        <v>1.6464</v>
      </c>
      <c r="F133" s="9" t="n">
        <v>7</v>
      </c>
      <c r="G133" s="25" t="n">
        <v>0.9</v>
      </c>
      <c r="H133" s="26" t="n">
        <v>1.28</v>
      </c>
      <c r="I133" s="12">
        <f>ROUND(D133*F133, 2)</f>
        <v/>
      </c>
      <c r="J133" s="27">
        <f>ROUND(H133*E133*SQRT(F133), 2)</f>
        <v/>
      </c>
      <c r="K133" s="27">
        <f>ROUND(I133+J133, 2)</f>
        <v/>
      </c>
      <c r="L133" s="20" t="inlineStr">
        <is>
          <t>Periodic Review (Bi-Weekly) | Standard Reorder Trigger</t>
        </is>
      </c>
    </row>
    <row r="134">
      <c r="B134" s="9" t="inlineStr">
        <is>
          <t>FOODS_1_117</t>
        </is>
      </c>
      <c r="C134" s="18" t="inlineStr">
        <is>
          <t>B</t>
        </is>
      </c>
      <c r="D134" s="12" t="n">
        <v>1.0052</v>
      </c>
      <c r="E134" s="12" t="n">
        <v>1.4395</v>
      </c>
      <c r="F134" s="9" t="n">
        <v>7</v>
      </c>
      <c r="G134" s="25" t="n">
        <v>0.9</v>
      </c>
      <c r="H134" s="26" t="n">
        <v>1.28</v>
      </c>
      <c r="I134" s="12">
        <f>ROUND(D134*F134, 2)</f>
        <v/>
      </c>
      <c r="J134" s="27">
        <f>ROUND(H134*E134*SQRT(F134), 2)</f>
        <v/>
      </c>
      <c r="K134" s="27">
        <f>ROUND(I134+J134, 2)</f>
        <v/>
      </c>
      <c r="L134" s="20" t="inlineStr">
        <is>
          <t>Periodic Review (Bi-Weekly) | Standard Reorder Trigger</t>
        </is>
      </c>
    </row>
    <row r="135">
      <c r="B135" s="9" t="inlineStr">
        <is>
          <t>FOODS_1_049</t>
        </is>
      </c>
      <c r="C135" s="18" t="inlineStr">
        <is>
          <t>B</t>
        </is>
      </c>
      <c r="D135" s="12" t="n">
        <v>0.9854000000000001</v>
      </c>
      <c r="E135" s="12" t="n">
        <v>1.7401</v>
      </c>
      <c r="F135" s="9" t="n">
        <v>7</v>
      </c>
      <c r="G135" s="25" t="n">
        <v>0.9</v>
      </c>
      <c r="H135" s="26" t="n">
        <v>1.28</v>
      </c>
      <c r="I135" s="12">
        <f>ROUND(D135*F135, 2)</f>
        <v/>
      </c>
      <c r="J135" s="27">
        <f>ROUND(H135*E135*SQRT(F135), 2)</f>
        <v/>
      </c>
      <c r="K135" s="27">
        <f>ROUND(I135+J135, 2)</f>
        <v/>
      </c>
      <c r="L135" s="20" t="inlineStr">
        <is>
          <t>Periodic Review (Bi-Weekly) | Standard Reorder Trigger</t>
        </is>
      </c>
    </row>
    <row r="136">
      <c r="B136" s="9" t="inlineStr">
        <is>
          <t>FOODS_1_092</t>
        </is>
      </c>
      <c r="C136" s="18" t="inlineStr">
        <is>
          <t>B</t>
        </is>
      </c>
      <c r="D136" s="12" t="n">
        <v>0.9645</v>
      </c>
      <c r="E136" s="12" t="n">
        <v>1.6206</v>
      </c>
      <c r="F136" s="9" t="n">
        <v>7</v>
      </c>
      <c r="G136" s="25" t="n">
        <v>0.9</v>
      </c>
      <c r="H136" s="26" t="n">
        <v>1.28</v>
      </c>
      <c r="I136" s="12">
        <f>ROUND(D136*F136, 2)</f>
        <v/>
      </c>
      <c r="J136" s="27">
        <f>ROUND(H136*E136*SQRT(F136), 2)</f>
        <v/>
      </c>
      <c r="K136" s="27">
        <f>ROUND(I136+J136, 2)</f>
        <v/>
      </c>
      <c r="L136" s="20" t="inlineStr">
        <is>
          <t>Periodic Review (Bi-Weekly) | Standard Reorder Trigger</t>
        </is>
      </c>
    </row>
    <row r="137">
      <c r="B137" s="9" t="inlineStr">
        <is>
          <t>FOODS_1_041</t>
        </is>
      </c>
      <c r="C137" s="18" t="inlineStr">
        <is>
          <t>B</t>
        </is>
      </c>
      <c r="D137" s="12" t="n">
        <v>0.9383</v>
      </c>
      <c r="E137" s="12" t="n">
        <v>1.3585</v>
      </c>
      <c r="F137" s="9" t="n">
        <v>7</v>
      </c>
      <c r="G137" s="25" t="n">
        <v>0.9</v>
      </c>
      <c r="H137" s="26" t="n">
        <v>1.28</v>
      </c>
      <c r="I137" s="12">
        <f>ROUND(D137*F137, 2)</f>
        <v/>
      </c>
      <c r="J137" s="27">
        <f>ROUND(H137*E137*SQRT(F137), 2)</f>
        <v/>
      </c>
      <c r="K137" s="27">
        <f>ROUND(I137+J137, 2)</f>
        <v/>
      </c>
      <c r="L137" s="20" t="inlineStr">
        <is>
          <t>Periodic Review (Bi-Weekly) | Standard Reorder Trigger</t>
        </is>
      </c>
    </row>
    <row r="138">
      <c r="B138" s="9" t="inlineStr">
        <is>
          <t>FOODS_1_124</t>
        </is>
      </c>
      <c r="C138" s="18" t="inlineStr">
        <is>
          <t>B</t>
        </is>
      </c>
      <c r="D138" s="12" t="n">
        <v>0.9347</v>
      </c>
      <c r="E138" s="12" t="n">
        <v>1.5268</v>
      </c>
      <c r="F138" s="9" t="n">
        <v>7</v>
      </c>
      <c r="G138" s="25" t="n">
        <v>0.9</v>
      </c>
      <c r="H138" s="26" t="n">
        <v>1.28</v>
      </c>
      <c r="I138" s="12">
        <f>ROUND(D138*F138, 2)</f>
        <v/>
      </c>
      <c r="J138" s="27">
        <f>ROUND(H138*E138*SQRT(F138), 2)</f>
        <v/>
      </c>
      <c r="K138" s="27">
        <f>ROUND(I138+J138, 2)</f>
        <v/>
      </c>
      <c r="L138" s="20" t="inlineStr">
        <is>
          <t>Periodic Review (Bi-Weekly) | Standard Reorder Trigger</t>
        </is>
      </c>
    </row>
    <row r="139">
      <c r="B139" s="9" t="inlineStr">
        <is>
          <t>FOODS_1_192</t>
        </is>
      </c>
      <c r="C139" s="18" t="inlineStr">
        <is>
          <t>B</t>
        </is>
      </c>
      <c r="D139" s="12" t="n">
        <v>0.8923</v>
      </c>
      <c r="E139" s="12" t="n">
        <v>1.2638</v>
      </c>
      <c r="F139" s="9" t="n">
        <v>7</v>
      </c>
      <c r="G139" s="25" t="n">
        <v>0.9</v>
      </c>
      <c r="H139" s="26" t="n">
        <v>1.28</v>
      </c>
      <c r="I139" s="12">
        <f>ROUND(D139*F139, 2)</f>
        <v/>
      </c>
      <c r="J139" s="27">
        <f>ROUND(H139*E139*SQRT(F139), 2)</f>
        <v/>
      </c>
      <c r="K139" s="27">
        <f>ROUND(I139+J139, 2)</f>
        <v/>
      </c>
      <c r="L139" s="20" t="inlineStr">
        <is>
          <t>Periodic Review (Bi-Weekly) | Standard Reorder Trigger</t>
        </is>
      </c>
    </row>
    <row r="140">
      <c r="B140" s="9" t="inlineStr">
        <is>
          <t>FOODS_1_063</t>
        </is>
      </c>
      <c r="C140" s="18" t="inlineStr">
        <is>
          <t>B</t>
        </is>
      </c>
      <c r="D140" s="12" t="n">
        <v>0.8688</v>
      </c>
      <c r="E140" s="12" t="n">
        <v>1.1481</v>
      </c>
      <c r="F140" s="9" t="n">
        <v>7</v>
      </c>
      <c r="G140" s="25" t="n">
        <v>0.9</v>
      </c>
      <c r="H140" s="26" t="n">
        <v>1.28</v>
      </c>
      <c r="I140" s="12">
        <f>ROUND(D140*F140, 2)</f>
        <v/>
      </c>
      <c r="J140" s="27">
        <f>ROUND(H140*E140*SQRT(F140), 2)</f>
        <v/>
      </c>
      <c r="K140" s="27">
        <f>ROUND(I140+J140, 2)</f>
        <v/>
      </c>
      <c r="L140" s="20" t="inlineStr">
        <is>
          <t>Periodic Review (Bi-Weekly) | Standard Reorder Trigger</t>
        </is>
      </c>
    </row>
    <row r="141">
      <c r="B141" s="9" t="inlineStr">
        <is>
          <t>FOODS_1_142</t>
        </is>
      </c>
      <c r="C141" s="18" t="inlineStr">
        <is>
          <t>B</t>
        </is>
      </c>
      <c r="D141" s="12" t="n">
        <v>0.8228</v>
      </c>
      <c r="E141" s="12" t="n">
        <v>1.4081</v>
      </c>
      <c r="F141" s="9" t="n">
        <v>7</v>
      </c>
      <c r="G141" s="25" t="n">
        <v>0.9</v>
      </c>
      <c r="H141" s="26" t="n">
        <v>1.28</v>
      </c>
      <c r="I141" s="12">
        <f>ROUND(D141*F141, 2)</f>
        <v/>
      </c>
      <c r="J141" s="27">
        <f>ROUND(H141*E141*SQRT(F141), 2)</f>
        <v/>
      </c>
      <c r="K141" s="27">
        <f>ROUND(I141+J141, 2)</f>
        <v/>
      </c>
      <c r="L141" s="20" t="inlineStr">
        <is>
          <t>Periodic Review (Bi-Weekly) | Standard Reorder Trigger</t>
        </is>
      </c>
    </row>
    <row r="142">
      <c r="B142" s="9" t="inlineStr">
        <is>
          <t>FOODS_1_146</t>
        </is>
      </c>
      <c r="C142" s="18" t="inlineStr">
        <is>
          <t>B</t>
        </is>
      </c>
      <c r="D142" s="12" t="n">
        <v>0.8129</v>
      </c>
      <c r="E142" s="12" t="n">
        <v>1.2164</v>
      </c>
      <c r="F142" s="9" t="n">
        <v>7</v>
      </c>
      <c r="G142" s="25" t="n">
        <v>0.9</v>
      </c>
      <c r="H142" s="26" t="n">
        <v>1.28</v>
      </c>
      <c r="I142" s="12">
        <f>ROUND(D142*F142, 2)</f>
        <v/>
      </c>
      <c r="J142" s="27">
        <f>ROUND(H142*E142*SQRT(F142), 2)</f>
        <v/>
      </c>
      <c r="K142" s="27">
        <f>ROUND(I142+J142, 2)</f>
        <v/>
      </c>
      <c r="L142" s="20" t="inlineStr">
        <is>
          <t>Periodic Review (Bi-Weekly) | Standard Reorder Trigger</t>
        </is>
      </c>
    </row>
    <row r="143">
      <c r="B143" s="9" t="inlineStr">
        <is>
          <t>FOODS_1_001</t>
        </is>
      </c>
      <c r="C143" s="18" t="inlineStr">
        <is>
          <t>B</t>
        </is>
      </c>
      <c r="D143" s="12" t="n">
        <v>0.7857</v>
      </c>
      <c r="E143" s="12" t="n">
        <v>1.2581</v>
      </c>
      <c r="F143" s="9" t="n">
        <v>7</v>
      </c>
      <c r="G143" s="25" t="n">
        <v>0.9</v>
      </c>
      <c r="H143" s="26" t="n">
        <v>1.28</v>
      </c>
      <c r="I143" s="12">
        <f>ROUND(D143*F143, 2)</f>
        <v/>
      </c>
      <c r="J143" s="27">
        <f>ROUND(H143*E143*SQRT(F143), 2)</f>
        <v/>
      </c>
      <c r="K143" s="27">
        <f>ROUND(I143+J143, 2)</f>
        <v/>
      </c>
      <c r="L143" s="20" t="inlineStr">
        <is>
          <t>Periodic Review (Bi-Weekly) | Standard Reorder Trigger</t>
        </is>
      </c>
    </row>
    <row r="144">
      <c r="B144" s="9" t="inlineStr">
        <is>
          <t>FOODS_1_132</t>
        </is>
      </c>
      <c r="C144" s="18" t="inlineStr">
        <is>
          <t>B</t>
        </is>
      </c>
      <c r="D144" s="12" t="n">
        <v>0.7799</v>
      </c>
      <c r="E144" s="12" t="n">
        <v>1.5759</v>
      </c>
      <c r="F144" s="9" t="n">
        <v>7</v>
      </c>
      <c r="G144" s="25" t="n">
        <v>0.9</v>
      </c>
      <c r="H144" s="26" t="n">
        <v>1.28</v>
      </c>
      <c r="I144" s="12">
        <f>ROUND(D144*F144, 2)</f>
        <v/>
      </c>
      <c r="J144" s="27">
        <f>ROUND(H144*E144*SQRT(F144), 2)</f>
        <v/>
      </c>
      <c r="K144" s="27">
        <f>ROUND(I144+J144, 2)</f>
        <v/>
      </c>
      <c r="L144" s="20" t="inlineStr">
        <is>
          <t>Periodic Review (Bi-Weekly) | Standard Reorder Trigger</t>
        </is>
      </c>
    </row>
    <row r="145">
      <c r="B145" s="9" t="inlineStr">
        <is>
          <t>FOODS_1_069</t>
        </is>
      </c>
      <c r="C145" s="18" t="inlineStr">
        <is>
          <t>B</t>
        </is>
      </c>
      <c r="D145" s="12" t="n">
        <v>0.7794</v>
      </c>
      <c r="E145" s="12" t="n">
        <v>1.5803</v>
      </c>
      <c r="F145" s="9" t="n">
        <v>7</v>
      </c>
      <c r="G145" s="25" t="n">
        <v>0.9</v>
      </c>
      <c r="H145" s="26" t="n">
        <v>1.28</v>
      </c>
      <c r="I145" s="12">
        <f>ROUND(D145*F145, 2)</f>
        <v/>
      </c>
      <c r="J145" s="27">
        <f>ROUND(H145*E145*SQRT(F145), 2)</f>
        <v/>
      </c>
      <c r="K145" s="27">
        <f>ROUND(I145+J145, 2)</f>
        <v/>
      </c>
      <c r="L145" s="20" t="inlineStr">
        <is>
          <t>Periodic Review (Bi-Weekly) | Standard Reorder Trigger</t>
        </is>
      </c>
    </row>
    <row r="146">
      <c r="B146" s="9" t="inlineStr">
        <is>
          <t>FOODS_1_213</t>
        </is>
      </c>
      <c r="C146" s="18" t="inlineStr">
        <is>
          <t>B</t>
        </is>
      </c>
      <c r="D146" s="12" t="n">
        <v>0.7397</v>
      </c>
      <c r="E146" s="12" t="n">
        <v>1.1649</v>
      </c>
      <c r="F146" s="9" t="n">
        <v>7</v>
      </c>
      <c r="G146" s="25" t="n">
        <v>0.9</v>
      </c>
      <c r="H146" s="26" t="n">
        <v>1.28</v>
      </c>
      <c r="I146" s="12">
        <f>ROUND(D146*F146, 2)</f>
        <v/>
      </c>
      <c r="J146" s="27">
        <f>ROUND(H146*E146*SQRT(F146), 2)</f>
        <v/>
      </c>
      <c r="K146" s="27">
        <f>ROUND(I146+J146, 2)</f>
        <v/>
      </c>
      <c r="L146" s="20" t="inlineStr">
        <is>
          <t>Periodic Review (Bi-Weekly) | Standard Reorder Trigger</t>
        </is>
      </c>
    </row>
    <row r="147">
      <c r="B147" s="9" t="inlineStr">
        <is>
          <t>FOODS_1_091</t>
        </is>
      </c>
      <c r="C147" s="18" t="inlineStr">
        <is>
          <t>B</t>
        </is>
      </c>
      <c r="D147" s="12" t="n">
        <v>0.7297</v>
      </c>
      <c r="E147" s="12" t="n">
        <v>1.1249</v>
      </c>
      <c r="F147" s="9" t="n">
        <v>7</v>
      </c>
      <c r="G147" s="25" t="n">
        <v>0.9</v>
      </c>
      <c r="H147" s="26" t="n">
        <v>1.28</v>
      </c>
      <c r="I147" s="12">
        <f>ROUND(D147*F147, 2)</f>
        <v/>
      </c>
      <c r="J147" s="27">
        <f>ROUND(H147*E147*SQRT(F147), 2)</f>
        <v/>
      </c>
      <c r="K147" s="27">
        <f>ROUND(I147+J147, 2)</f>
        <v/>
      </c>
      <c r="L147" s="20" t="inlineStr">
        <is>
          <t>Periodic Review (Bi-Weekly) | Standard Reorder Trigger</t>
        </is>
      </c>
    </row>
    <row r="148">
      <c r="B148" s="9" t="inlineStr">
        <is>
          <t>FOODS_1_182</t>
        </is>
      </c>
      <c r="C148" s="18" t="inlineStr">
        <is>
          <t>B</t>
        </is>
      </c>
      <c r="D148" s="12" t="n">
        <v>0.7277</v>
      </c>
      <c r="E148" s="12" t="n">
        <v>1.2637</v>
      </c>
      <c r="F148" s="9" t="n">
        <v>7</v>
      </c>
      <c r="G148" s="25" t="n">
        <v>0.9</v>
      </c>
      <c r="H148" s="26" t="n">
        <v>1.28</v>
      </c>
      <c r="I148" s="12">
        <f>ROUND(D148*F148, 2)</f>
        <v/>
      </c>
      <c r="J148" s="27">
        <f>ROUND(H148*E148*SQRT(F148), 2)</f>
        <v/>
      </c>
      <c r="K148" s="27">
        <f>ROUND(I148+J148, 2)</f>
        <v/>
      </c>
      <c r="L148" s="20" t="inlineStr">
        <is>
          <t>Periodic Review (Bi-Weekly) | Standard Reorder Trigger</t>
        </is>
      </c>
    </row>
    <row r="149">
      <c r="B149" s="9" t="inlineStr">
        <is>
          <t>FOODS_1_203</t>
        </is>
      </c>
      <c r="C149" s="18" t="inlineStr">
        <is>
          <t>B</t>
        </is>
      </c>
      <c r="D149" s="12" t="n">
        <v>0.7271</v>
      </c>
      <c r="E149" s="12" t="n">
        <v>1.51</v>
      </c>
      <c r="F149" s="9" t="n">
        <v>7</v>
      </c>
      <c r="G149" s="25" t="n">
        <v>0.9</v>
      </c>
      <c r="H149" s="26" t="n">
        <v>1.28</v>
      </c>
      <c r="I149" s="12">
        <f>ROUND(D149*F149, 2)</f>
        <v/>
      </c>
      <c r="J149" s="27">
        <f>ROUND(H149*E149*SQRT(F149), 2)</f>
        <v/>
      </c>
      <c r="K149" s="27">
        <f>ROUND(I149+J149, 2)</f>
        <v/>
      </c>
      <c r="L149" s="20" t="inlineStr">
        <is>
          <t>Periodic Review (Bi-Weekly) | Standard Reorder Trigger</t>
        </is>
      </c>
    </row>
    <row r="150">
      <c r="B150" s="9" t="inlineStr">
        <is>
          <t>FOODS_1_035</t>
        </is>
      </c>
      <c r="C150" s="18" t="inlineStr">
        <is>
          <t>B</t>
        </is>
      </c>
      <c r="D150" s="12" t="n">
        <v>0.7188</v>
      </c>
      <c r="E150" s="12" t="n">
        <v>1.5997</v>
      </c>
      <c r="F150" s="9" t="n">
        <v>7</v>
      </c>
      <c r="G150" s="25" t="n">
        <v>0.9</v>
      </c>
      <c r="H150" s="26" t="n">
        <v>1.28</v>
      </c>
      <c r="I150" s="12">
        <f>ROUND(D150*F150, 2)</f>
        <v/>
      </c>
      <c r="J150" s="27">
        <f>ROUND(H150*E150*SQRT(F150), 2)</f>
        <v/>
      </c>
      <c r="K150" s="27">
        <f>ROUND(I150+J150, 2)</f>
        <v/>
      </c>
      <c r="L150" s="20" t="inlineStr">
        <is>
          <t>Periodic Review (Bi-Weekly) | Standard Reorder Trigger</t>
        </is>
      </c>
    </row>
    <row r="151">
      <c r="B151" s="9" t="inlineStr">
        <is>
          <t>FOODS_1_168</t>
        </is>
      </c>
      <c r="C151" s="18" t="inlineStr">
        <is>
          <t>B</t>
        </is>
      </c>
      <c r="D151" s="12" t="n">
        <v>0.7171999999999999</v>
      </c>
      <c r="E151" s="12" t="n">
        <v>1.1782</v>
      </c>
      <c r="F151" s="9" t="n">
        <v>7</v>
      </c>
      <c r="G151" s="25" t="n">
        <v>0.9</v>
      </c>
      <c r="H151" s="26" t="n">
        <v>1.28</v>
      </c>
      <c r="I151" s="12">
        <f>ROUND(D151*F151, 2)</f>
        <v/>
      </c>
      <c r="J151" s="27">
        <f>ROUND(H151*E151*SQRT(F151), 2)</f>
        <v/>
      </c>
      <c r="K151" s="27">
        <f>ROUND(I151+J151, 2)</f>
        <v/>
      </c>
      <c r="L151" s="20" t="inlineStr">
        <is>
          <t>Periodic Review (Bi-Weekly) | Standard Reorder Trigger</t>
        </is>
      </c>
    </row>
    <row r="152">
      <c r="B152" s="9" t="inlineStr">
        <is>
          <t>FOODS_1_143</t>
        </is>
      </c>
      <c r="C152" s="18" t="inlineStr">
        <is>
          <t>B</t>
        </is>
      </c>
      <c r="D152" s="12" t="n">
        <v>0.7146</v>
      </c>
      <c r="E152" s="12" t="n">
        <v>1.4168</v>
      </c>
      <c r="F152" s="9" t="n">
        <v>7</v>
      </c>
      <c r="G152" s="25" t="n">
        <v>0.9</v>
      </c>
      <c r="H152" s="26" t="n">
        <v>1.28</v>
      </c>
      <c r="I152" s="12">
        <f>ROUND(D152*F152, 2)</f>
        <v/>
      </c>
      <c r="J152" s="27">
        <f>ROUND(H152*E152*SQRT(F152), 2)</f>
        <v/>
      </c>
      <c r="K152" s="27">
        <f>ROUND(I152+J152, 2)</f>
        <v/>
      </c>
      <c r="L152" s="20" t="inlineStr">
        <is>
          <t>Periodic Review (Bi-Weekly) | Standard Reorder Trigger</t>
        </is>
      </c>
    </row>
    <row r="153">
      <c r="B153" s="9" t="inlineStr">
        <is>
          <t>FOODS_1_102</t>
        </is>
      </c>
      <c r="C153" s="18" t="inlineStr">
        <is>
          <t>B</t>
        </is>
      </c>
      <c r="D153" s="12" t="n">
        <v>0.6984</v>
      </c>
      <c r="E153" s="12" t="n">
        <v>1.1027</v>
      </c>
      <c r="F153" s="9" t="n">
        <v>7</v>
      </c>
      <c r="G153" s="25" t="n">
        <v>0.9</v>
      </c>
      <c r="H153" s="26" t="n">
        <v>1.28</v>
      </c>
      <c r="I153" s="12">
        <f>ROUND(D153*F153, 2)</f>
        <v/>
      </c>
      <c r="J153" s="27">
        <f>ROUND(H153*E153*SQRT(F153), 2)</f>
        <v/>
      </c>
      <c r="K153" s="27">
        <f>ROUND(I153+J153, 2)</f>
        <v/>
      </c>
      <c r="L153" s="20" t="inlineStr">
        <is>
          <t>Periodic Review (Bi-Weekly) | Standard Reorder Trigger</t>
        </is>
      </c>
    </row>
    <row r="154">
      <c r="B154" s="9" t="inlineStr">
        <is>
          <t>FOODS_1_015</t>
        </is>
      </c>
      <c r="C154" s="18" t="inlineStr">
        <is>
          <t>B</t>
        </is>
      </c>
      <c r="D154" s="12" t="n">
        <v>0.6806</v>
      </c>
      <c r="E154" s="12" t="n">
        <v>1.4824</v>
      </c>
      <c r="F154" s="9" t="n">
        <v>7</v>
      </c>
      <c r="G154" s="25" t="n">
        <v>0.9</v>
      </c>
      <c r="H154" s="26" t="n">
        <v>1.28</v>
      </c>
      <c r="I154" s="12">
        <f>ROUND(D154*F154, 2)</f>
        <v/>
      </c>
      <c r="J154" s="27">
        <f>ROUND(H154*E154*SQRT(F154), 2)</f>
        <v/>
      </c>
      <c r="K154" s="27">
        <f>ROUND(I154+J154, 2)</f>
        <v/>
      </c>
      <c r="L154" s="20" t="inlineStr">
        <is>
          <t>Periodic Review (Bi-Weekly) | Standard Reorder Trigger</t>
        </is>
      </c>
    </row>
    <row r="155">
      <c r="B155" s="9" t="inlineStr">
        <is>
          <t>FOODS_1_209</t>
        </is>
      </c>
      <c r="C155" s="18" t="inlineStr">
        <is>
          <t>B</t>
        </is>
      </c>
      <c r="D155" s="12" t="n">
        <v>0.6654</v>
      </c>
      <c r="E155" s="12" t="n">
        <v>1.0114</v>
      </c>
      <c r="F155" s="9" t="n">
        <v>7</v>
      </c>
      <c r="G155" s="25" t="n">
        <v>0.9</v>
      </c>
      <c r="H155" s="26" t="n">
        <v>1.28</v>
      </c>
      <c r="I155" s="12">
        <f>ROUND(D155*F155, 2)</f>
        <v/>
      </c>
      <c r="J155" s="27">
        <f>ROUND(H155*E155*SQRT(F155), 2)</f>
        <v/>
      </c>
      <c r="K155" s="27">
        <f>ROUND(I155+J155, 2)</f>
        <v/>
      </c>
      <c r="L155" s="20" t="inlineStr">
        <is>
          <t>Periodic Review (Bi-Weekly) | Standard Reorder Trigger</t>
        </is>
      </c>
    </row>
    <row r="156">
      <c r="B156" s="9" t="inlineStr">
        <is>
          <t>FOODS_1_071</t>
        </is>
      </c>
      <c r="C156" s="18" t="inlineStr">
        <is>
          <t>B</t>
        </is>
      </c>
      <c r="D156" s="12" t="n">
        <v>0.6472</v>
      </c>
      <c r="E156" s="12" t="n">
        <v>1.2931</v>
      </c>
      <c r="F156" s="9" t="n">
        <v>7</v>
      </c>
      <c r="G156" s="25" t="n">
        <v>0.9</v>
      </c>
      <c r="H156" s="26" t="n">
        <v>1.28</v>
      </c>
      <c r="I156" s="12">
        <f>ROUND(D156*F156, 2)</f>
        <v/>
      </c>
      <c r="J156" s="27">
        <f>ROUND(H156*E156*SQRT(F156), 2)</f>
        <v/>
      </c>
      <c r="K156" s="27">
        <f>ROUND(I156+J156, 2)</f>
        <v/>
      </c>
      <c r="L156" s="20" t="inlineStr">
        <is>
          <t>Periodic Review (Bi-Weekly) | Standard Reorder Trigger</t>
        </is>
      </c>
    </row>
    <row r="157">
      <c r="B157" s="9" t="inlineStr">
        <is>
          <t>FOODS_1_138</t>
        </is>
      </c>
      <c r="C157" s="18" t="inlineStr">
        <is>
          <t>B</t>
        </is>
      </c>
      <c r="D157" s="12" t="n">
        <v>0.6336000000000001</v>
      </c>
      <c r="E157" s="12" t="n">
        <v>1.4205</v>
      </c>
      <c r="F157" s="9" t="n">
        <v>7</v>
      </c>
      <c r="G157" s="25" t="n">
        <v>0.9</v>
      </c>
      <c r="H157" s="26" t="n">
        <v>1.28</v>
      </c>
      <c r="I157" s="12">
        <f>ROUND(D157*F157, 2)</f>
        <v/>
      </c>
      <c r="J157" s="27">
        <f>ROUND(H157*E157*SQRT(F157), 2)</f>
        <v/>
      </c>
      <c r="K157" s="27">
        <f>ROUND(I157+J157, 2)</f>
        <v/>
      </c>
      <c r="L157" s="20" t="inlineStr">
        <is>
          <t>Periodic Review (Bi-Weekly) | Standard Reorder Trigger</t>
        </is>
      </c>
    </row>
    <row r="158">
      <c r="B158" s="9" t="inlineStr">
        <is>
          <t>FOODS_1_011</t>
        </is>
      </c>
      <c r="C158" s="18" t="inlineStr">
        <is>
          <t>B</t>
        </is>
      </c>
      <c r="D158" s="12" t="n">
        <v>0.6158</v>
      </c>
      <c r="E158" s="12" t="n">
        <v>1.2236</v>
      </c>
      <c r="F158" s="9" t="n">
        <v>7</v>
      </c>
      <c r="G158" s="25" t="n">
        <v>0.9</v>
      </c>
      <c r="H158" s="26" t="n">
        <v>1.28</v>
      </c>
      <c r="I158" s="12">
        <f>ROUND(D158*F158, 2)</f>
        <v/>
      </c>
      <c r="J158" s="27">
        <f>ROUND(H158*E158*SQRT(F158), 2)</f>
        <v/>
      </c>
      <c r="K158" s="27">
        <f>ROUND(I158+J158, 2)</f>
        <v/>
      </c>
      <c r="L158" s="20" t="inlineStr">
        <is>
          <t>Periodic Review (Bi-Weekly) | Standard Reorder Trigger</t>
        </is>
      </c>
    </row>
    <row r="159">
      <c r="B159" s="9" t="inlineStr">
        <is>
          <t>FOODS_1_028</t>
        </is>
      </c>
      <c r="C159" s="18" t="inlineStr">
        <is>
          <t>B</t>
        </is>
      </c>
      <c r="D159" s="12" t="n">
        <v>0.6079</v>
      </c>
      <c r="E159" s="12" t="n">
        <v>1.6277</v>
      </c>
      <c r="F159" s="9" t="n">
        <v>7</v>
      </c>
      <c r="G159" s="25" t="n">
        <v>0.9</v>
      </c>
      <c r="H159" s="26" t="n">
        <v>1.28</v>
      </c>
      <c r="I159" s="12">
        <f>ROUND(D159*F159, 2)</f>
        <v/>
      </c>
      <c r="J159" s="27">
        <f>ROUND(H159*E159*SQRT(F159), 2)</f>
        <v/>
      </c>
      <c r="K159" s="27">
        <f>ROUND(I159+J159, 2)</f>
        <v/>
      </c>
      <c r="L159" s="20" t="inlineStr">
        <is>
          <t>Periodic Review (Bi-Weekly) | Standard Reorder Trigger</t>
        </is>
      </c>
    </row>
    <row r="160">
      <c r="B160" s="9" t="inlineStr">
        <is>
          <t>FOODS_1_188</t>
        </is>
      </c>
      <c r="C160" s="18" t="inlineStr">
        <is>
          <t>B</t>
        </is>
      </c>
      <c r="D160" s="12" t="n">
        <v>0.587</v>
      </c>
      <c r="E160" s="12" t="n">
        <v>1.2761</v>
      </c>
      <c r="F160" s="9" t="n">
        <v>7</v>
      </c>
      <c r="G160" s="25" t="n">
        <v>0.9</v>
      </c>
      <c r="H160" s="26" t="n">
        <v>1.28</v>
      </c>
      <c r="I160" s="12">
        <f>ROUND(D160*F160, 2)</f>
        <v/>
      </c>
      <c r="J160" s="27">
        <f>ROUND(H160*E160*SQRT(F160), 2)</f>
        <v/>
      </c>
      <c r="K160" s="27">
        <f>ROUND(I160+J160, 2)</f>
        <v/>
      </c>
      <c r="L160" s="20" t="inlineStr">
        <is>
          <t>Periodic Review (Bi-Weekly) | Standard Reorder Trigger</t>
        </is>
      </c>
    </row>
    <row r="161">
      <c r="B161" s="9" t="inlineStr">
        <is>
          <t>FOODS_1_134</t>
        </is>
      </c>
      <c r="C161" s="18" t="inlineStr">
        <is>
          <t>B</t>
        </is>
      </c>
      <c r="D161" s="12" t="n">
        <v>0.587</v>
      </c>
      <c r="E161" s="12" t="n">
        <v>1.1962</v>
      </c>
      <c r="F161" s="9" t="n">
        <v>7</v>
      </c>
      <c r="G161" s="25" t="n">
        <v>0.9</v>
      </c>
      <c r="H161" s="26" t="n">
        <v>1.28</v>
      </c>
      <c r="I161" s="12">
        <f>ROUND(D161*F161, 2)</f>
        <v/>
      </c>
      <c r="J161" s="27">
        <f>ROUND(H161*E161*SQRT(F161), 2)</f>
        <v/>
      </c>
      <c r="K161" s="27">
        <f>ROUND(I161+J161, 2)</f>
        <v/>
      </c>
      <c r="L161" s="20" t="inlineStr">
        <is>
          <t>Periodic Review (Bi-Weekly) | Standard Reorder Trigger</t>
        </is>
      </c>
    </row>
    <row r="162">
      <c r="B162" s="9" t="inlineStr">
        <is>
          <t>FOODS_1_039</t>
        </is>
      </c>
      <c r="C162" s="18" t="inlineStr">
        <is>
          <t>B</t>
        </is>
      </c>
      <c r="D162" s="12" t="n">
        <v>0.5478</v>
      </c>
      <c r="E162" s="12" t="n">
        <v>1.0934</v>
      </c>
      <c r="F162" s="9" t="n">
        <v>7</v>
      </c>
      <c r="G162" s="25" t="n">
        <v>0.9</v>
      </c>
      <c r="H162" s="26" t="n">
        <v>1.28</v>
      </c>
      <c r="I162" s="12">
        <f>ROUND(D162*F162, 2)</f>
        <v/>
      </c>
      <c r="J162" s="27">
        <f>ROUND(H162*E162*SQRT(F162), 2)</f>
        <v/>
      </c>
      <c r="K162" s="27">
        <f>ROUND(I162+J162, 2)</f>
        <v/>
      </c>
      <c r="L162" s="20" t="inlineStr">
        <is>
          <t>Periodic Review (Bi-Weekly) | Standard Reorder Trigger</t>
        </is>
      </c>
    </row>
    <row r="163">
      <c r="B163" s="9" t="inlineStr">
        <is>
          <t>FOODS_1_030</t>
        </is>
      </c>
      <c r="C163" s="18" t="inlineStr">
        <is>
          <t>B</t>
        </is>
      </c>
      <c r="D163" s="12" t="n">
        <v>0.5337</v>
      </c>
      <c r="E163" s="12" t="n">
        <v>1.1338</v>
      </c>
      <c r="F163" s="9" t="n">
        <v>7</v>
      </c>
      <c r="G163" s="25" t="n">
        <v>0.9</v>
      </c>
      <c r="H163" s="26" t="n">
        <v>1.28</v>
      </c>
      <c r="I163" s="12">
        <f>ROUND(D163*F163, 2)</f>
        <v/>
      </c>
      <c r="J163" s="27">
        <f>ROUND(H163*E163*SQRT(F163), 2)</f>
        <v/>
      </c>
      <c r="K163" s="27">
        <f>ROUND(I163+J163, 2)</f>
        <v/>
      </c>
      <c r="L163" s="20" t="inlineStr">
        <is>
          <t>Periodic Review (Bi-Weekly) | Standard Reorder Trigger</t>
        </is>
      </c>
    </row>
    <row r="164">
      <c r="B164" s="9" t="inlineStr">
        <is>
          <t>FOODS_1_051</t>
        </is>
      </c>
      <c r="C164" s="18" t="inlineStr">
        <is>
          <t>B</t>
        </is>
      </c>
      <c r="D164" s="12" t="n">
        <v>0.5159</v>
      </c>
      <c r="E164" s="12" t="n">
        <v>1.0962</v>
      </c>
      <c r="F164" s="9" t="n">
        <v>7</v>
      </c>
      <c r="G164" s="25" t="n">
        <v>0.9</v>
      </c>
      <c r="H164" s="26" t="n">
        <v>1.28</v>
      </c>
      <c r="I164" s="12">
        <f>ROUND(D164*F164, 2)</f>
        <v/>
      </c>
      <c r="J164" s="27">
        <f>ROUND(H164*E164*SQRT(F164), 2)</f>
        <v/>
      </c>
      <c r="K164" s="27">
        <f>ROUND(I164+J164, 2)</f>
        <v/>
      </c>
      <c r="L164" s="20" t="inlineStr">
        <is>
          <t>Periodic Review (Bi-Weekly) | Standard Reorder Trigger</t>
        </is>
      </c>
    </row>
    <row r="165">
      <c r="B165" s="9" t="inlineStr">
        <is>
          <t>FOODS_1_156</t>
        </is>
      </c>
      <c r="C165" s="18" t="inlineStr">
        <is>
          <t>B</t>
        </is>
      </c>
      <c r="D165" s="12" t="n">
        <v>0.5107</v>
      </c>
      <c r="E165" s="12" t="n">
        <v>0.9391</v>
      </c>
      <c r="F165" s="9" t="n">
        <v>7</v>
      </c>
      <c r="G165" s="25" t="n">
        <v>0.9</v>
      </c>
      <c r="H165" s="26" t="n">
        <v>1.28</v>
      </c>
      <c r="I165" s="12">
        <f>ROUND(D165*F165, 2)</f>
        <v/>
      </c>
      <c r="J165" s="27">
        <f>ROUND(H165*E165*SQRT(F165), 2)</f>
        <v/>
      </c>
      <c r="K165" s="27">
        <f>ROUND(I165+J165, 2)</f>
        <v/>
      </c>
      <c r="L165" s="20" t="inlineStr">
        <is>
          <t>Periodic Review (Bi-Weekly) | Standard Reorder Trigger</t>
        </is>
      </c>
    </row>
    <row r="166">
      <c r="B166" s="9" t="inlineStr">
        <is>
          <t>FOODS_1_176</t>
        </is>
      </c>
      <c r="C166" s="18" t="inlineStr">
        <is>
          <t>B</t>
        </is>
      </c>
      <c r="D166" s="12" t="n">
        <v>0.506</v>
      </c>
      <c r="E166" s="12" t="n">
        <v>1.2384</v>
      </c>
      <c r="F166" s="9" t="n">
        <v>7</v>
      </c>
      <c r="G166" s="25" t="n">
        <v>0.9</v>
      </c>
      <c r="H166" s="26" t="n">
        <v>1.28</v>
      </c>
      <c r="I166" s="12">
        <f>ROUND(D166*F166, 2)</f>
        <v/>
      </c>
      <c r="J166" s="27">
        <f>ROUND(H166*E166*SQRT(F166), 2)</f>
        <v/>
      </c>
      <c r="K166" s="27">
        <f>ROUND(I166+J166, 2)</f>
        <v/>
      </c>
      <c r="L166" s="20" t="inlineStr">
        <is>
          <t>Periodic Review (Bi-Weekly) | Standard Reorder Trigger</t>
        </is>
      </c>
    </row>
    <row r="167">
      <c r="B167" s="9" t="inlineStr">
        <is>
          <t>FOODS_1_198</t>
        </is>
      </c>
      <c r="C167" s="18" t="inlineStr">
        <is>
          <t>B</t>
        </is>
      </c>
      <c r="D167" s="12" t="n">
        <v>0.495</v>
      </c>
      <c r="E167" s="12" t="n">
        <v>1.1662</v>
      </c>
      <c r="F167" s="9" t="n">
        <v>7</v>
      </c>
      <c r="G167" s="25" t="n">
        <v>0.9</v>
      </c>
      <c r="H167" s="26" t="n">
        <v>1.28</v>
      </c>
      <c r="I167" s="12">
        <f>ROUND(D167*F167, 2)</f>
        <v/>
      </c>
      <c r="J167" s="27">
        <f>ROUND(H167*E167*SQRT(F167), 2)</f>
        <v/>
      </c>
      <c r="K167" s="27">
        <f>ROUND(I167+J167, 2)</f>
        <v/>
      </c>
      <c r="L167" s="20" t="inlineStr">
        <is>
          <t>Periodic Review (Bi-Weekly) | Standard Reorder Trigger</t>
        </is>
      </c>
    </row>
    <row r="168">
      <c r="B168" s="9" t="inlineStr">
        <is>
          <t>FOODS_1_116</t>
        </is>
      </c>
      <c r="C168" s="18" t="inlineStr">
        <is>
          <t>B</t>
        </is>
      </c>
      <c r="D168" s="12" t="n">
        <v>0.4773</v>
      </c>
      <c r="E168" s="12" t="n">
        <v>1.1221</v>
      </c>
      <c r="F168" s="9" t="n">
        <v>7</v>
      </c>
      <c r="G168" s="25" t="n">
        <v>0.9</v>
      </c>
      <c r="H168" s="26" t="n">
        <v>1.28</v>
      </c>
      <c r="I168" s="12">
        <f>ROUND(D168*F168, 2)</f>
        <v/>
      </c>
      <c r="J168" s="27">
        <f>ROUND(H168*E168*SQRT(F168), 2)</f>
        <v/>
      </c>
      <c r="K168" s="27">
        <f>ROUND(I168+J168, 2)</f>
        <v/>
      </c>
      <c r="L168" s="20" t="inlineStr">
        <is>
          <t>Periodic Review (Bi-Weekly) | Standard Reorder Trigger</t>
        </is>
      </c>
    </row>
    <row r="169">
      <c r="B169" s="9" t="inlineStr">
        <is>
          <t>FOODS_1_025</t>
        </is>
      </c>
      <c r="C169" s="18" t="inlineStr">
        <is>
          <t>B</t>
        </is>
      </c>
      <c r="D169" s="12" t="n">
        <v>0.4496</v>
      </c>
      <c r="E169" s="12" t="n">
        <v>0.9014</v>
      </c>
      <c r="F169" s="9" t="n">
        <v>7</v>
      </c>
      <c r="G169" s="25" t="n">
        <v>0.9</v>
      </c>
      <c r="H169" s="26" t="n">
        <v>1.28</v>
      </c>
      <c r="I169" s="12">
        <f>ROUND(D169*F169, 2)</f>
        <v/>
      </c>
      <c r="J169" s="27">
        <f>ROUND(H169*E169*SQRT(F169), 2)</f>
        <v/>
      </c>
      <c r="K169" s="27">
        <f>ROUND(I169+J169, 2)</f>
        <v/>
      </c>
      <c r="L169" s="20" t="inlineStr">
        <is>
          <t>Periodic Review (Bi-Weekly) | Standard Reorder Trigger</t>
        </is>
      </c>
    </row>
    <row r="170">
      <c r="B170" s="9" t="inlineStr">
        <is>
          <t>FOODS_1_119</t>
        </is>
      </c>
      <c r="C170" s="18" t="inlineStr">
        <is>
          <t>B</t>
        </is>
      </c>
      <c r="D170" s="12" t="n">
        <v>0.4381</v>
      </c>
      <c r="E170" s="12" t="n">
        <v>0.9202</v>
      </c>
      <c r="F170" s="9" t="n">
        <v>7</v>
      </c>
      <c r="G170" s="25" t="n">
        <v>0.9</v>
      </c>
      <c r="H170" s="26" t="n">
        <v>1.28</v>
      </c>
      <c r="I170" s="12">
        <f>ROUND(D170*F170, 2)</f>
        <v/>
      </c>
      <c r="J170" s="27">
        <f>ROUND(H170*E170*SQRT(F170), 2)</f>
        <v/>
      </c>
      <c r="K170" s="27">
        <f>ROUND(I170+J170, 2)</f>
        <v/>
      </c>
      <c r="L170" s="20" t="inlineStr">
        <is>
          <t>Periodic Review (Bi-Weekly) | Standard Reorder Trigger</t>
        </is>
      </c>
    </row>
    <row r="171">
      <c r="B171" s="9" t="inlineStr">
        <is>
          <t>FOODS_1_158</t>
        </is>
      </c>
      <c r="C171" s="18" t="inlineStr">
        <is>
          <t>B</t>
        </is>
      </c>
      <c r="D171" s="12" t="n">
        <v>0.4297</v>
      </c>
      <c r="E171" s="12" t="n">
        <v>0.769</v>
      </c>
      <c r="F171" s="9" t="n">
        <v>7</v>
      </c>
      <c r="G171" s="25" t="n">
        <v>0.9</v>
      </c>
      <c r="H171" s="26" t="n">
        <v>1.28</v>
      </c>
      <c r="I171" s="12">
        <f>ROUND(D171*F171, 2)</f>
        <v/>
      </c>
      <c r="J171" s="27">
        <f>ROUND(H171*E171*SQRT(F171), 2)</f>
        <v/>
      </c>
      <c r="K171" s="27">
        <f>ROUND(I171+J171, 2)</f>
        <v/>
      </c>
      <c r="L171" s="20" t="inlineStr">
        <is>
          <t>Periodic Review (Bi-Weekly) | Standard Reorder Trigger</t>
        </is>
      </c>
    </row>
    <row r="172">
      <c r="B172" s="9" t="inlineStr">
        <is>
          <t>FOODS_1_068</t>
        </is>
      </c>
      <c r="C172" s="18" t="inlineStr">
        <is>
          <t>B</t>
        </is>
      </c>
      <c r="D172" s="12" t="n">
        <v>0.4203</v>
      </c>
      <c r="E172" s="12" t="n">
        <v>1.033</v>
      </c>
      <c r="F172" s="9" t="n">
        <v>7</v>
      </c>
      <c r="G172" s="25" t="n">
        <v>0.9</v>
      </c>
      <c r="H172" s="26" t="n">
        <v>1.28</v>
      </c>
      <c r="I172" s="12">
        <f>ROUND(D172*F172, 2)</f>
        <v/>
      </c>
      <c r="J172" s="27">
        <f>ROUND(H172*E172*SQRT(F172), 2)</f>
        <v/>
      </c>
      <c r="K172" s="27">
        <f>ROUND(I172+J172, 2)</f>
        <v/>
      </c>
      <c r="L172" s="20" t="inlineStr">
        <is>
          <t>Periodic Review (Bi-Weekly) | Standard Reorder Trigger</t>
        </is>
      </c>
    </row>
    <row r="173">
      <c r="B173" s="9" t="inlineStr">
        <is>
          <t>FOODS_1_169</t>
        </is>
      </c>
      <c r="C173" s="18" t="inlineStr">
        <is>
          <t>B</t>
        </is>
      </c>
      <c r="D173" s="12" t="n">
        <v>0.4104</v>
      </c>
      <c r="E173" s="12" t="n">
        <v>1.0869</v>
      </c>
      <c r="F173" s="9" t="n">
        <v>7</v>
      </c>
      <c r="G173" s="25" t="n">
        <v>0.9</v>
      </c>
      <c r="H173" s="26" t="n">
        <v>1.28</v>
      </c>
      <c r="I173" s="12">
        <f>ROUND(D173*F173, 2)</f>
        <v/>
      </c>
      <c r="J173" s="27">
        <f>ROUND(H173*E173*SQRT(F173), 2)</f>
        <v/>
      </c>
      <c r="K173" s="27">
        <f>ROUND(I173+J173, 2)</f>
        <v/>
      </c>
      <c r="L173" s="20" t="inlineStr">
        <is>
          <t>Periodic Review (Bi-Weekly) | Standard Reorder Trigger</t>
        </is>
      </c>
    </row>
    <row r="174">
      <c r="B174" s="9" t="inlineStr">
        <is>
          <t>FOODS_1_072</t>
        </is>
      </c>
      <c r="C174" s="18" t="inlineStr">
        <is>
          <t>B</t>
        </is>
      </c>
      <c r="D174" s="12" t="n">
        <v>0.3968</v>
      </c>
      <c r="E174" s="12" t="n">
        <v>0.8384</v>
      </c>
      <c r="F174" s="9" t="n">
        <v>7</v>
      </c>
      <c r="G174" s="25" t="n">
        <v>0.9</v>
      </c>
      <c r="H174" s="26" t="n">
        <v>1.28</v>
      </c>
      <c r="I174" s="12">
        <f>ROUND(D174*F174, 2)</f>
        <v/>
      </c>
      <c r="J174" s="27">
        <f>ROUND(H174*E174*SQRT(F174), 2)</f>
        <v/>
      </c>
      <c r="K174" s="27">
        <f>ROUND(I174+J174, 2)</f>
        <v/>
      </c>
      <c r="L174" s="20" t="inlineStr">
        <is>
          <t>Periodic Review (Bi-Weekly) | Standard Reorder Trigger</t>
        </is>
      </c>
    </row>
    <row r="175">
      <c r="B175" s="9" t="inlineStr">
        <is>
          <t>FOODS_1_053</t>
        </is>
      </c>
      <c r="C175" s="18" t="inlineStr">
        <is>
          <t>B</t>
        </is>
      </c>
      <c r="D175" s="12" t="n">
        <v>0.3826</v>
      </c>
      <c r="E175" s="12" t="n">
        <v>0.8214</v>
      </c>
      <c r="F175" s="9" t="n">
        <v>7</v>
      </c>
      <c r="G175" s="25" t="n">
        <v>0.9</v>
      </c>
      <c r="H175" s="26" t="n">
        <v>1.28</v>
      </c>
      <c r="I175" s="12">
        <f>ROUND(D175*F175, 2)</f>
        <v/>
      </c>
      <c r="J175" s="27">
        <f>ROUND(H175*E175*SQRT(F175), 2)</f>
        <v/>
      </c>
      <c r="K175" s="27">
        <f>ROUND(I175+J175, 2)</f>
        <v/>
      </c>
      <c r="L175" s="20" t="inlineStr">
        <is>
          <t>Periodic Review (Bi-Weekly) | Standard Reorder Trigger</t>
        </is>
      </c>
    </row>
    <row r="176">
      <c r="B176" s="9" t="inlineStr">
        <is>
          <t>FOODS_1_193</t>
        </is>
      </c>
      <c r="C176" s="18" t="inlineStr">
        <is>
          <t>B</t>
        </is>
      </c>
      <c r="D176" s="12" t="n">
        <v>0.3398</v>
      </c>
      <c r="E176" s="12" t="n">
        <v>1.0383</v>
      </c>
      <c r="F176" s="9" t="n">
        <v>7</v>
      </c>
      <c r="G176" s="25" t="n">
        <v>0.9</v>
      </c>
      <c r="H176" s="26" t="n">
        <v>1.28</v>
      </c>
      <c r="I176" s="12">
        <f>ROUND(D176*F176, 2)</f>
        <v/>
      </c>
      <c r="J176" s="27">
        <f>ROUND(H176*E176*SQRT(F176), 2)</f>
        <v/>
      </c>
      <c r="K176" s="27">
        <f>ROUND(I176+J176, 2)</f>
        <v/>
      </c>
      <c r="L176" s="20" t="inlineStr">
        <is>
          <t>Periodic Review (Bi-Weekly) | Standard Reorder Trigger</t>
        </is>
      </c>
    </row>
    <row r="177">
      <c r="B177" s="9" t="inlineStr">
        <is>
          <t>FOODS_1_147</t>
        </is>
      </c>
      <c r="C177" s="18" t="inlineStr">
        <is>
          <t>B</t>
        </is>
      </c>
      <c r="D177" s="12" t="n">
        <v>0.3116</v>
      </c>
      <c r="E177" s="12" t="n">
        <v>0.7226</v>
      </c>
      <c r="F177" s="9" t="n">
        <v>7</v>
      </c>
      <c r="G177" s="25" t="n">
        <v>0.9</v>
      </c>
      <c r="H177" s="26" t="n">
        <v>1.28</v>
      </c>
      <c r="I177" s="12">
        <f>ROUND(D177*F177, 2)</f>
        <v/>
      </c>
      <c r="J177" s="27">
        <f>ROUND(H177*E177*SQRT(F177), 2)</f>
        <v/>
      </c>
      <c r="K177" s="27">
        <f>ROUND(I177+J177, 2)</f>
        <v/>
      </c>
      <c r="L177" s="20" t="inlineStr">
        <is>
          <t>Periodic Review (Bi-Weekly) | Standard Reorder Trigger</t>
        </is>
      </c>
    </row>
    <row r="178">
      <c r="B178" s="9" t="inlineStr">
        <is>
          <t>FOODS_1_096</t>
        </is>
      </c>
      <c r="C178" s="18" t="inlineStr">
        <is>
          <t>B</t>
        </is>
      </c>
      <c r="D178" s="12" t="n">
        <v>0.3084</v>
      </c>
      <c r="E178" s="12" t="n">
        <v>0.6516999999999999</v>
      </c>
      <c r="F178" s="9" t="n">
        <v>7</v>
      </c>
      <c r="G178" s="25" t="n">
        <v>0.9</v>
      </c>
      <c r="H178" s="26" t="n">
        <v>1.28</v>
      </c>
      <c r="I178" s="12">
        <f>ROUND(D178*F178, 2)</f>
        <v/>
      </c>
      <c r="J178" s="27">
        <f>ROUND(H178*E178*SQRT(F178), 2)</f>
        <v/>
      </c>
      <c r="K178" s="27">
        <f>ROUND(I178+J178, 2)</f>
        <v/>
      </c>
      <c r="L178" s="20" t="inlineStr">
        <is>
          <t>Periodic Review (Bi-Weekly) | Standard Reorder Trigger</t>
        </is>
      </c>
    </row>
    <row r="179">
      <c r="B179" s="9" t="inlineStr">
        <is>
          <t>FOODS_1_034</t>
        </is>
      </c>
      <c r="C179" s="18" t="inlineStr">
        <is>
          <t>B</t>
        </is>
      </c>
      <c r="D179" s="12" t="n">
        <v>0.3068</v>
      </c>
      <c r="E179" s="12" t="n">
        <v>0.6488</v>
      </c>
      <c r="F179" s="9" t="n">
        <v>7</v>
      </c>
      <c r="G179" s="25" t="n">
        <v>0.9</v>
      </c>
      <c r="H179" s="26" t="n">
        <v>1.28</v>
      </c>
      <c r="I179" s="12">
        <f>ROUND(D179*F179, 2)</f>
        <v/>
      </c>
      <c r="J179" s="27">
        <f>ROUND(H179*E179*SQRT(F179), 2)</f>
        <v/>
      </c>
      <c r="K179" s="27">
        <f>ROUND(I179+J179, 2)</f>
        <v/>
      </c>
      <c r="L179" s="20" t="inlineStr">
        <is>
          <t>Periodic Review (Bi-Weekly) | Standard Reorder Trigger</t>
        </is>
      </c>
    </row>
    <row r="180">
      <c r="B180" s="9" t="inlineStr">
        <is>
          <t>FOODS_1_033</t>
        </is>
      </c>
      <c r="C180" s="18" t="inlineStr">
        <is>
          <t>B</t>
        </is>
      </c>
      <c r="D180" s="12" t="n">
        <v>0.3021</v>
      </c>
      <c r="E180" s="12" t="n">
        <v>0.8161</v>
      </c>
      <c r="F180" s="9" t="n">
        <v>7</v>
      </c>
      <c r="G180" s="25" t="n">
        <v>0.9</v>
      </c>
      <c r="H180" s="26" t="n">
        <v>1.28</v>
      </c>
      <c r="I180" s="12">
        <f>ROUND(D180*F180, 2)</f>
        <v/>
      </c>
      <c r="J180" s="27">
        <f>ROUND(H180*E180*SQRT(F180), 2)</f>
        <v/>
      </c>
      <c r="K180" s="27">
        <f>ROUND(I180+J180, 2)</f>
        <v/>
      </c>
      <c r="L180" s="20" t="inlineStr">
        <is>
          <t>Periodic Review (Bi-Weekly) | Standard Reorder Trigger</t>
        </is>
      </c>
    </row>
    <row r="181">
      <c r="B181" s="9" t="inlineStr">
        <is>
          <t>FOODS_1_048</t>
        </is>
      </c>
      <c r="C181" s="18" t="inlineStr">
        <is>
          <t>B</t>
        </is>
      </c>
      <c r="D181" s="12" t="n">
        <v>0.3001</v>
      </c>
      <c r="E181" s="12" t="n">
        <v>0.7173</v>
      </c>
      <c r="F181" s="9" t="n">
        <v>7</v>
      </c>
      <c r="G181" s="25" t="n">
        <v>0.9</v>
      </c>
      <c r="H181" s="26" t="n">
        <v>1.28</v>
      </c>
      <c r="I181" s="12">
        <f>ROUND(D181*F181, 2)</f>
        <v/>
      </c>
      <c r="J181" s="27">
        <f>ROUND(H181*E181*SQRT(F181), 2)</f>
        <v/>
      </c>
      <c r="K181" s="27">
        <f>ROUND(I181+J181, 2)</f>
        <v/>
      </c>
      <c r="L181" s="20" t="inlineStr">
        <is>
          <t>Periodic Review (Bi-Weekly) | Standard Reorder Trigger</t>
        </is>
      </c>
    </row>
    <row r="182">
      <c r="B182" s="9" t="inlineStr">
        <is>
          <t>FOODS_1_125</t>
        </is>
      </c>
      <c r="C182" s="18" t="inlineStr">
        <is>
          <t>B</t>
        </is>
      </c>
      <c r="D182" s="12" t="n">
        <v>0.2729</v>
      </c>
      <c r="E182" s="12" t="n">
        <v>0.7458</v>
      </c>
      <c r="F182" s="9" t="n">
        <v>7</v>
      </c>
      <c r="G182" s="25" t="n">
        <v>0.9</v>
      </c>
      <c r="H182" s="26" t="n">
        <v>1.28</v>
      </c>
      <c r="I182" s="12">
        <f>ROUND(D182*F182, 2)</f>
        <v/>
      </c>
      <c r="J182" s="27">
        <f>ROUND(H182*E182*SQRT(F182), 2)</f>
        <v/>
      </c>
      <c r="K182" s="27">
        <f>ROUND(I182+J182, 2)</f>
        <v/>
      </c>
      <c r="L182" s="20" t="inlineStr">
        <is>
          <t>Periodic Review (Bi-Weekly) | Standard Reorder Trigger</t>
        </is>
      </c>
    </row>
    <row r="183">
      <c r="B183" s="9" t="inlineStr">
        <is>
          <t>FOODS_1_171</t>
        </is>
      </c>
      <c r="C183" s="18" t="inlineStr">
        <is>
          <t>B</t>
        </is>
      </c>
      <c r="D183" s="12" t="n">
        <v>0.2556</v>
      </c>
      <c r="E183" s="12" t="n">
        <v>0.8514</v>
      </c>
      <c r="F183" s="9" t="n">
        <v>7</v>
      </c>
      <c r="G183" s="25" t="n">
        <v>0.9</v>
      </c>
      <c r="H183" s="26" t="n">
        <v>1.28</v>
      </c>
      <c r="I183" s="12">
        <f>ROUND(D183*F183, 2)</f>
        <v/>
      </c>
      <c r="J183" s="27">
        <f>ROUND(H183*E183*SQRT(F183), 2)</f>
        <v/>
      </c>
      <c r="K183" s="27">
        <f>ROUND(I183+J183, 2)</f>
        <v/>
      </c>
      <c r="L183" s="20" t="inlineStr">
        <is>
          <t>Periodic Review (Bi-Weekly) | Standard Reorder Trigger</t>
        </is>
      </c>
    </row>
    <row r="184">
      <c r="B184" s="9" t="inlineStr">
        <is>
          <t>FOODS_1_059</t>
        </is>
      </c>
      <c r="C184" s="18" t="inlineStr">
        <is>
          <t>B</t>
        </is>
      </c>
      <c r="D184" s="12" t="n">
        <v>0.2541</v>
      </c>
      <c r="E184" s="12" t="n">
        <v>0.7891</v>
      </c>
      <c r="F184" s="9" t="n">
        <v>7</v>
      </c>
      <c r="G184" s="25" t="n">
        <v>0.9</v>
      </c>
      <c r="H184" s="26" t="n">
        <v>1.28</v>
      </c>
      <c r="I184" s="12">
        <f>ROUND(D184*F184, 2)</f>
        <v/>
      </c>
      <c r="J184" s="27">
        <f>ROUND(H184*E184*SQRT(F184), 2)</f>
        <v/>
      </c>
      <c r="K184" s="27">
        <f>ROUND(I184+J184, 2)</f>
        <v/>
      </c>
      <c r="L184" s="20" t="inlineStr">
        <is>
          <t>Periodic Review (Bi-Weekly) | Standard Reorder Trigger</t>
        </is>
      </c>
    </row>
    <row r="185">
      <c r="B185" s="9" t="inlineStr">
        <is>
          <t>FOODS_1_151</t>
        </is>
      </c>
      <c r="C185" s="18" t="inlineStr">
        <is>
          <t>B</t>
        </is>
      </c>
      <c r="D185" s="12" t="n">
        <v>0.1887</v>
      </c>
      <c r="E185" s="12" t="n">
        <v>0.5377</v>
      </c>
      <c r="F185" s="9" t="n">
        <v>7</v>
      </c>
      <c r="G185" s="25" t="n">
        <v>0.9</v>
      </c>
      <c r="H185" s="26" t="n">
        <v>1.28</v>
      </c>
      <c r="I185" s="12">
        <f>ROUND(D185*F185, 2)</f>
        <v/>
      </c>
      <c r="J185" s="27">
        <f>ROUND(H185*E185*SQRT(F185), 2)</f>
        <v/>
      </c>
      <c r="K185" s="27">
        <f>ROUND(I185+J185, 2)</f>
        <v/>
      </c>
      <c r="L185" s="20" t="inlineStr">
        <is>
          <t>Periodic Review (Bi-Weekly) | Standard Reorder Trigger</t>
        </is>
      </c>
    </row>
    <row r="186">
      <c r="B186" s="9" t="inlineStr">
        <is>
          <t>FOODS_1_155</t>
        </is>
      </c>
      <c r="C186" s="18" t="inlineStr">
        <is>
          <t>C</t>
        </is>
      </c>
      <c r="D186" s="12" t="n">
        <v>1.1495</v>
      </c>
      <c r="E186" s="12" t="n">
        <v>1.8965</v>
      </c>
      <c r="F186" s="9" t="n">
        <v>7</v>
      </c>
      <c r="G186" s="25" t="n">
        <v>0.9</v>
      </c>
      <c r="H186" s="26" t="n">
        <v>1.28</v>
      </c>
      <c r="I186" s="12">
        <f>ROUND(D186*F186, 2)</f>
        <v/>
      </c>
      <c r="J186" s="27">
        <f>ROUND(H186*E186*SQRT(F186), 2)</f>
        <v/>
      </c>
      <c r="K186" s="27">
        <f>ROUND(I186+J186, 2)</f>
        <v/>
      </c>
      <c r="L186" s="20" t="inlineStr">
        <is>
          <t>Monthly Periodic Review / Minimum Batch Reorder | Avoid Excess Stock</t>
        </is>
      </c>
    </row>
    <row r="187">
      <c r="B187" s="9" t="inlineStr">
        <is>
          <t>FOODS_1_145</t>
        </is>
      </c>
      <c r="C187" s="18" t="inlineStr">
        <is>
          <t>C</t>
        </is>
      </c>
      <c r="D187" s="12" t="n">
        <v>1.0643</v>
      </c>
      <c r="E187" s="12" t="n">
        <v>1.6845</v>
      </c>
      <c r="F187" s="9" t="n">
        <v>7</v>
      </c>
      <c r="G187" s="25" t="n">
        <v>0.9</v>
      </c>
      <c r="H187" s="26" t="n">
        <v>1.28</v>
      </c>
      <c r="I187" s="12">
        <f>ROUND(D187*F187, 2)</f>
        <v/>
      </c>
      <c r="J187" s="27">
        <f>ROUND(H187*E187*SQRT(F187), 2)</f>
        <v/>
      </c>
      <c r="K187" s="27">
        <f>ROUND(I187+J187, 2)</f>
        <v/>
      </c>
      <c r="L187" s="20" t="inlineStr">
        <is>
          <t>Monthly Periodic Review / Minimum Batch Reorder | Avoid Excess Stock</t>
        </is>
      </c>
    </row>
    <row r="188">
      <c r="B188" s="9" t="inlineStr">
        <is>
          <t>FOODS_1_097</t>
        </is>
      </c>
      <c r="C188" s="18" t="inlineStr">
        <is>
          <t>C</t>
        </is>
      </c>
      <c r="D188" s="12" t="n">
        <v>1.0559</v>
      </c>
      <c r="E188" s="12" t="n">
        <v>1.6829</v>
      </c>
      <c r="F188" s="9" t="n">
        <v>7</v>
      </c>
      <c r="G188" s="25" t="n">
        <v>0.9</v>
      </c>
      <c r="H188" s="26" t="n">
        <v>1.28</v>
      </c>
      <c r="I188" s="12">
        <f>ROUND(D188*F188, 2)</f>
        <v/>
      </c>
      <c r="J188" s="27">
        <f>ROUND(H188*E188*SQRT(F188), 2)</f>
        <v/>
      </c>
      <c r="K188" s="27">
        <f>ROUND(I188+J188, 2)</f>
        <v/>
      </c>
      <c r="L188" s="20" t="inlineStr">
        <is>
          <t>Monthly Periodic Review / Minimum Batch Reorder | Avoid Excess Stock</t>
        </is>
      </c>
    </row>
    <row r="189">
      <c r="B189" s="9" t="inlineStr">
        <is>
          <t>FOODS_1_202</t>
        </is>
      </c>
      <c r="C189" s="18" t="inlineStr">
        <is>
          <t>C</t>
        </is>
      </c>
      <c r="D189" s="12" t="n">
        <v>1.0094</v>
      </c>
      <c r="E189" s="12" t="n">
        <v>1.8221</v>
      </c>
      <c r="F189" s="9" t="n">
        <v>7</v>
      </c>
      <c r="G189" s="25" t="n">
        <v>0.9</v>
      </c>
      <c r="H189" s="26" t="n">
        <v>1.28</v>
      </c>
      <c r="I189" s="12">
        <f>ROUND(D189*F189, 2)</f>
        <v/>
      </c>
      <c r="J189" s="27">
        <f>ROUND(H189*E189*SQRT(F189), 2)</f>
        <v/>
      </c>
      <c r="K189" s="27">
        <f>ROUND(I189+J189, 2)</f>
        <v/>
      </c>
      <c r="L189" s="20" t="inlineStr">
        <is>
          <t>Monthly Periodic Review / Minimum Batch Reorder | Avoid Excess Stock</t>
        </is>
      </c>
    </row>
    <row r="190">
      <c r="B190" s="9" t="inlineStr">
        <is>
          <t>FOODS_1_052</t>
        </is>
      </c>
      <c r="C190" s="18" t="inlineStr">
        <is>
          <t>C</t>
        </is>
      </c>
      <c r="D190" s="12" t="n">
        <v>0.7716</v>
      </c>
      <c r="E190" s="12" t="n">
        <v>1.3322</v>
      </c>
      <c r="F190" s="9" t="n">
        <v>7</v>
      </c>
      <c r="G190" s="25" t="n">
        <v>0.9</v>
      </c>
      <c r="H190" s="26" t="n">
        <v>1.28</v>
      </c>
      <c r="I190" s="12">
        <f>ROUND(D190*F190, 2)</f>
        <v/>
      </c>
      <c r="J190" s="27">
        <f>ROUND(H190*E190*SQRT(F190), 2)</f>
        <v/>
      </c>
      <c r="K190" s="27">
        <f>ROUND(I190+J190, 2)</f>
        <v/>
      </c>
      <c r="L190" s="20" t="inlineStr">
        <is>
          <t>Monthly Periodic Review / Minimum Batch Reorder | Avoid Excess Stock</t>
        </is>
      </c>
    </row>
    <row r="191">
      <c r="B191" s="9" t="inlineStr">
        <is>
          <t>FOODS_1_121</t>
        </is>
      </c>
      <c r="C191" s="18" t="inlineStr">
        <is>
          <t>C</t>
        </is>
      </c>
      <c r="D191" s="12" t="n">
        <v>0.7219</v>
      </c>
      <c r="E191" s="12" t="n">
        <v>1.3472</v>
      </c>
      <c r="F191" s="9" t="n">
        <v>7</v>
      </c>
      <c r="G191" s="25" t="n">
        <v>0.9</v>
      </c>
      <c r="H191" s="26" t="n">
        <v>1.28</v>
      </c>
      <c r="I191" s="12">
        <f>ROUND(D191*F191, 2)</f>
        <v/>
      </c>
      <c r="J191" s="27">
        <f>ROUND(H191*E191*SQRT(F191), 2)</f>
        <v/>
      </c>
      <c r="K191" s="27">
        <f>ROUND(I191+J191, 2)</f>
        <v/>
      </c>
      <c r="L191" s="20" t="inlineStr">
        <is>
          <t>Monthly Periodic Review / Minimum Batch Reorder | Avoid Excess Stock</t>
        </is>
      </c>
    </row>
    <row r="192">
      <c r="B192" s="9" t="inlineStr">
        <is>
          <t>FOODS_1_149</t>
        </is>
      </c>
      <c r="C192" s="18" t="inlineStr">
        <is>
          <t>C</t>
        </is>
      </c>
      <c r="D192" s="12" t="n">
        <v>0.6963</v>
      </c>
      <c r="E192" s="12" t="n">
        <v>1.3665</v>
      </c>
      <c r="F192" s="9" t="n">
        <v>7</v>
      </c>
      <c r="G192" s="25" t="n">
        <v>0.9</v>
      </c>
      <c r="H192" s="26" t="n">
        <v>1.28</v>
      </c>
      <c r="I192" s="12">
        <f>ROUND(D192*F192, 2)</f>
        <v/>
      </c>
      <c r="J192" s="27">
        <f>ROUND(H192*E192*SQRT(F192), 2)</f>
        <v/>
      </c>
      <c r="K192" s="27">
        <f>ROUND(I192+J192, 2)</f>
        <v/>
      </c>
      <c r="L192" s="20" t="inlineStr">
        <is>
          <t>Monthly Periodic Review / Minimum Batch Reorder | Avoid Excess Stock</t>
        </is>
      </c>
    </row>
    <row r="193">
      <c r="B193" s="9" t="inlineStr">
        <is>
          <t>FOODS_1_118</t>
        </is>
      </c>
      <c r="C193" s="18" t="inlineStr">
        <is>
          <t>C</t>
        </is>
      </c>
      <c r="D193" s="12" t="n">
        <v>0.6722</v>
      </c>
      <c r="E193" s="12" t="n">
        <v>1.5062</v>
      </c>
      <c r="F193" s="9" t="n">
        <v>7</v>
      </c>
      <c r="G193" s="25" t="n">
        <v>0.9</v>
      </c>
      <c r="H193" s="26" t="n">
        <v>1.28</v>
      </c>
      <c r="I193" s="12">
        <f>ROUND(D193*F193, 2)</f>
        <v/>
      </c>
      <c r="J193" s="27">
        <f>ROUND(H193*E193*SQRT(F193), 2)</f>
        <v/>
      </c>
      <c r="K193" s="27">
        <f>ROUND(I193+J193, 2)</f>
        <v/>
      </c>
      <c r="L193" s="20" t="inlineStr">
        <is>
          <t>Monthly Periodic Review / Minimum Batch Reorder | Avoid Excess Stock</t>
        </is>
      </c>
    </row>
    <row r="194">
      <c r="B194" s="9" t="inlineStr">
        <is>
          <t>FOODS_1_014</t>
        </is>
      </c>
      <c r="C194" s="18" t="inlineStr">
        <is>
          <t>C</t>
        </is>
      </c>
      <c r="D194" s="12" t="n">
        <v>0.5923</v>
      </c>
      <c r="E194" s="12" t="n">
        <v>1.2417</v>
      </c>
      <c r="F194" s="9" t="n">
        <v>7</v>
      </c>
      <c r="G194" s="25" t="n">
        <v>0.9</v>
      </c>
      <c r="H194" s="26" t="n">
        <v>1.28</v>
      </c>
      <c r="I194" s="12">
        <f>ROUND(D194*F194, 2)</f>
        <v/>
      </c>
      <c r="J194" s="27">
        <f>ROUND(H194*E194*SQRT(F194), 2)</f>
        <v/>
      </c>
      <c r="K194" s="27">
        <f>ROUND(I194+J194, 2)</f>
        <v/>
      </c>
      <c r="L194" s="20" t="inlineStr">
        <is>
          <t>Monthly Periodic Review / Minimum Batch Reorder | Avoid Excess Stock</t>
        </is>
      </c>
    </row>
    <row r="195">
      <c r="B195" s="9" t="inlineStr">
        <is>
          <t>FOODS_1_070</t>
        </is>
      </c>
      <c r="C195" s="18" t="inlineStr">
        <is>
          <t>C</t>
        </is>
      </c>
      <c r="D195" s="12" t="n">
        <v>0.551</v>
      </c>
      <c r="E195" s="12" t="n">
        <v>1.3338</v>
      </c>
      <c r="F195" s="9" t="n">
        <v>7</v>
      </c>
      <c r="G195" s="25" t="n">
        <v>0.9</v>
      </c>
      <c r="H195" s="26" t="n">
        <v>1.28</v>
      </c>
      <c r="I195" s="12">
        <f>ROUND(D195*F195, 2)</f>
        <v/>
      </c>
      <c r="J195" s="27">
        <f>ROUND(H195*E195*SQRT(F195), 2)</f>
        <v/>
      </c>
      <c r="K195" s="27">
        <f>ROUND(I195+J195, 2)</f>
        <v/>
      </c>
      <c r="L195" s="20" t="inlineStr">
        <is>
          <t>Monthly Periodic Review / Minimum Batch Reorder | Avoid Excess Stock</t>
        </is>
      </c>
    </row>
    <row r="196">
      <c r="B196" s="9" t="inlineStr">
        <is>
          <t>FOODS_1_101</t>
        </is>
      </c>
      <c r="C196" s="18" t="inlineStr">
        <is>
          <t>C</t>
        </is>
      </c>
      <c r="D196" s="12" t="n">
        <v>0.5494</v>
      </c>
      <c r="E196" s="12" t="n">
        <v>1.0618</v>
      </c>
      <c r="F196" s="9" t="n">
        <v>7</v>
      </c>
      <c r="G196" s="25" t="n">
        <v>0.9</v>
      </c>
      <c r="H196" s="26" t="n">
        <v>1.28</v>
      </c>
      <c r="I196" s="12">
        <f>ROUND(D196*F196, 2)</f>
        <v/>
      </c>
      <c r="J196" s="27">
        <f>ROUND(H196*E196*SQRT(F196), 2)</f>
        <v/>
      </c>
      <c r="K196" s="27">
        <f>ROUND(I196+J196, 2)</f>
        <v/>
      </c>
      <c r="L196" s="20" t="inlineStr">
        <is>
          <t>Monthly Periodic Review / Minimum Batch Reorder | Avoid Excess Stock</t>
        </is>
      </c>
    </row>
    <row r="197">
      <c r="B197" s="9" t="inlineStr">
        <is>
          <t>FOODS_1_109</t>
        </is>
      </c>
      <c r="C197" s="18" t="inlineStr">
        <is>
          <t>C</t>
        </is>
      </c>
      <c r="D197" s="12" t="n">
        <v>0.4867</v>
      </c>
      <c r="E197" s="12" t="n">
        <v>0.9745</v>
      </c>
      <c r="F197" s="9" t="n">
        <v>7</v>
      </c>
      <c r="G197" s="25" t="n">
        <v>0.9</v>
      </c>
      <c r="H197" s="26" t="n">
        <v>1.28</v>
      </c>
      <c r="I197" s="12">
        <f>ROUND(D197*F197, 2)</f>
        <v/>
      </c>
      <c r="J197" s="27">
        <f>ROUND(H197*E197*SQRT(F197), 2)</f>
        <v/>
      </c>
      <c r="K197" s="27">
        <f>ROUND(I197+J197, 2)</f>
        <v/>
      </c>
      <c r="L197" s="20" t="inlineStr">
        <is>
          <t>Monthly Periodic Review / Minimum Batch Reorder | Avoid Excess Stock</t>
        </is>
      </c>
    </row>
    <row r="198">
      <c r="B198" s="9" t="inlineStr">
        <is>
          <t>FOODS_1_009</t>
        </is>
      </c>
      <c r="C198" s="18" t="inlineStr">
        <is>
          <t>C</t>
        </is>
      </c>
      <c r="D198" s="12" t="n">
        <v>0.4642</v>
      </c>
      <c r="E198" s="12" t="n">
        <v>1.047</v>
      </c>
      <c r="F198" s="9" t="n">
        <v>7</v>
      </c>
      <c r="G198" s="25" t="n">
        <v>0.9</v>
      </c>
      <c r="H198" s="26" t="n">
        <v>1.28</v>
      </c>
      <c r="I198" s="12">
        <f>ROUND(D198*F198, 2)</f>
        <v/>
      </c>
      <c r="J198" s="27">
        <f>ROUND(H198*E198*SQRT(F198), 2)</f>
        <v/>
      </c>
      <c r="K198" s="27">
        <f>ROUND(I198+J198, 2)</f>
        <v/>
      </c>
      <c r="L198" s="20" t="inlineStr">
        <is>
          <t>Monthly Periodic Review / Minimum Batch Reorder | Avoid Excess Stock</t>
        </is>
      </c>
    </row>
    <row r="199">
      <c r="B199" s="9" t="inlineStr">
        <is>
          <t>FOODS_1_017</t>
        </is>
      </c>
      <c r="C199" s="18" t="inlineStr">
        <is>
          <t>C</t>
        </is>
      </c>
      <c r="D199" s="12" t="n">
        <v>0.4417</v>
      </c>
      <c r="E199" s="12" t="n">
        <v>1.1552</v>
      </c>
      <c r="F199" s="9" t="n">
        <v>7</v>
      </c>
      <c r="G199" s="25" t="n">
        <v>0.9</v>
      </c>
      <c r="H199" s="26" t="n">
        <v>1.28</v>
      </c>
      <c r="I199" s="12">
        <f>ROUND(D199*F199, 2)</f>
        <v/>
      </c>
      <c r="J199" s="27">
        <f>ROUND(H199*E199*SQRT(F199), 2)</f>
        <v/>
      </c>
      <c r="K199" s="27">
        <f>ROUND(I199+J199, 2)</f>
        <v/>
      </c>
      <c r="L199" s="20" t="inlineStr">
        <is>
          <t>Monthly Periodic Review / Minimum Batch Reorder | Avoid Excess Stock</t>
        </is>
      </c>
    </row>
    <row r="200">
      <c r="B200" s="9" t="inlineStr">
        <is>
          <t>FOODS_1_122</t>
        </is>
      </c>
      <c r="C200" s="18" t="inlineStr">
        <is>
          <t>C</t>
        </is>
      </c>
      <c r="D200" s="12" t="n">
        <v>0.4334</v>
      </c>
      <c r="E200" s="12" t="n">
        <v>1.2324</v>
      </c>
      <c r="F200" s="9" t="n">
        <v>7</v>
      </c>
      <c r="G200" s="25" t="n">
        <v>0.9</v>
      </c>
      <c r="H200" s="26" t="n">
        <v>1.28</v>
      </c>
      <c r="I200" s="12">
        <f>ROUND(D200*F200, 2)</f>
        <v/>
      </c>
      <c r="J200" s="27">
        <f>ROUND(H200*E200*SQRT(F200), 2)</f>
        <v/>
      </c>
      <c r="K200" s="27">
        <f>ROUND(I200+J200, 2)</f>
        <v/>
      </c>
      <c r="L200" s="20" t="inlineStr">
        <is>
          <t>Monthly Periodic Review / Minimum Batch Reorder | Avoid Excess Stock</t>
        </is>
      </c>
    </row>
    <row r="201">
      <c r="B201" s="9" t="inlineStr">
        <is>
          <t>FOODS_1_135</t>
        </is>
      </c>
      <c r="C201" s="18" t="inlineStr">
        <is>
          <t>C</t>
        </is>
      </c>
      <c r="D201" s="12" t="n">
        <v>0.4083</v>
      </c>
      <c r="E201" s="12" t="n">
        <v>0.98</v>
      </c>
      <c r="F201" s="9" t="n">
        <v>7</v>
      </c>
      <c r="G201" s="25" t="n">
        <v>0.9</v>
      </c>
      <c r="H201" s="26" t="n">
        <v>1.28</v>
      </c>
      <c r="I201" s="12">
        <f>ROUND(D201*F201, 2)</f>
        <v/>
      </c>
      <c r="J201" s="27">
        <f>ROUND(H201*E201*SQRT(F201), 2)</f>
        <v/>
      </c>
      <c r="K201" s="27">
        <f>ROUND(I201+J201, 2)</f>
        <v/>
      </c>
      <c r="L201" s="20" t="inlineStr">
        <is>
          <t>Monthly Periodic Review / Minimum Batch Reorder | Avoid Excess Stock</t>
        </is>
      </c>
    </row>
    <row r="202">
      <c r="B202" s="9" t="inlineStr">
        <is>
          <t>FOODS_1_189</t>
        </is>
      </c>
      <c r="C202" s="18" t="inlineStr">
        <is>
          <t>C</t>
        </is>
      </c>
      <c r="D202" s="12" t="n">
        <v>0.3461</v>
      </c>
      <c r="E202" s="12" t="n">
        <v>1.1317</v>
      </c>
      <c r="F202" s="9" t="n">
        <v>7</v>
      </c>
      <c r="G202" s="25" t="n">
        <v>0.9</v>
      </c>
      <c r="H202" s="26" t="n">
        <v>1.28</v>
      </c>
      <c r="I202" s="12">
        <f>ROUND(D202*F202, 2)</f>
        <v/>
      </c>
      <c r="J202" s="27">
        <f>ROUND(H202*E202*SQRT(F202), 2)</f>
        <v/>
      </c>
      <c r="K202" s="27">
        <f>ROUND(I202+J202, 2)</f>
        <v/>
      </c>
      <c r="L202" s="20" t="inlineStr">
        <is>
          <t>Monthly Periodic Review / Minimum Batch Reorder | Avoid Excess Stock</t>
        </is>
      </c>
    </row>
    <row r="203">
      <c r="B203" s="9" t="inlineStr">
        <is>
          <t>FOODS_1_126</t>
        </is>
      </c>
      <c r="C203" s="18" t="inlineStr">
        <is>
          <t>C</t>
        </is>
      </c>
      <c r="D203" s="12" t="n">
        <v>0.322</v>
      </c>
      <c r="E203" s="12" t="n">
        <v>0.8868</v>
      </c>
      <c r="F203" s="9" t="n">
        <v>7</v>
      </c>
      <c r="G203" s="25" t="n">
        <v>0.9</v>
      </c>
      <c r="H203" s="26" t="n">
        <v>1.28</v>
      </c>
      <c r="I203" s="12">
        <f>ROUND(D203*F203, 2)</f>
        <v/>
      </c>
      <c r="J203" s="27">
        <f>ROUND(H203*E203*SQRT(F203), 2)</f>
        <v/>
      </c>
      <c r="K203" s="27">
        <f>ROUND(I203+J203, 2)</f>
        <v/>
      </c>
      <c r="L203" s="20" t="inlineStr">
        <is>
          <t>Monthly Periodic Review / Minimum Batch Reorder | Avoid Excess Stock</t>
        </is>
      </c>
    </row>
    <row r="204">
      <c r="B204" s="9" t="inlineStr">
        <is>
          <t>FOODS_1_060</t>
        </is>
      </c>
      <c r="C204" s="18" t="inlineStr">
        <is>
          <t>C</t>
        </is>
      </c>
      <c r="D204" s="12" t="n">
        <v>0.3105</v>
      </c>
      <c r="E204" s="12" t="n">
        <v>0.798</v>
      </c>
      <c r="F204" s="9" t="n">
        <v>7</v>
      </c>
      <c r="G204" s="25" t="n">
        <v>0.9</v>
      </c>
      <c r="H204" s="26" t="n">
        <v>1.28</v>
      </c>
      <c r="I204" s="12">
        <f>ROUND(D204*F204, 2)</f>
        <v/>
      </c>
      <c r="J204" s="27">
        <f>ROUND(H204*E204*SQRT(F204), 2)</f>
        <v/>
      </c>
      <c r="K204" s="27">
        <f>ROUND(I204+J204, 2)</f>
        <v/>
      </c>
      <c r="L204" s="20" t="inlineStr">
        <is>
          <t>Monthly Periodic Review / Minimum Batch Reorder | Avoid Excess Stock</t>
        </is>
      </c>
    </row>
    <row r="205">
      <c r="B205" s="9" t="inlineStr">
        <is>
          <t>FOODS_1_078</t>
        </is>
      </c>
      <c r="C205" s="18" t="inlineStr">
        <is>
          <t>C</t>
        </is>
      </c>
      <c r="D205" s="12" t="n">
        <v>0.2812</v>
      </c>
      <c r="E205" s="12" t="n">
        <v>0.7587</v>
      </c>
      <c r="F205" s="9" t="n">
        <v>7</v>
      </c>
      <c r="G205" s="25" t="n">
        <v>0.9</v>
      </c>
      <c r="H205" s="26" t="n">
        <v>1.28</v>
      </c>
      <c r="I205" s="12">
        <f>ROUND(D205*F205, 2)</f>
        <v/>
      </c>
      <c r="J205" s="27">
        <f>ROUND(H205*E205*SQRT(F205), 2)</f>
        <v/>
      </c>
      <c r="K205" s="27">
        <f>ROUND(I205+J205, 2)</f>
        <v/>
      </c>
      <c r="L205" s="20" t="inlineStr">
        <is>
          <t>Monthly Periodic Review / Minimum Batch Reorder | Avoid Excess Stock</t>
        </is>
      </c>
    </row>
    <row r="206">
      <c r="B206" s="9" t="inlineStr">
        <is>
          <t>FOODS_1_131</t>
        </is>
      </c>
      <c r="C206" s="18" t="inlineStr">
        <is>
          <t>C</t>
        </is>
      </c>
      <c r="D206" s="12" t="n">
        <v>0.264</v>
      </c>
      <c r="E206" s="12" t="n">
        <v>0.8451</v>
      </c>
      <c r="F206" s="9" t="n">
        <v>7</v>
      </c>
      <c r="G206" s="25" t="n">
        <v>0.9</v>
      </c>
      <c r="H206" s="26" t="n">
        <v>1.28</v>
      </c>
      <c r="I206" s="12">
        <f>ROUND(D206*F206, 2)</f>
        <v/>
      </c>
      <c r="J206" s="27">
        <f>ROUND(H206*E206*SQRT(F206), 2)</f>
        <v/>
      </c>
      <c r="K206" s="27">
        <f>ROUND(I206+J206, 2)</f>
        <v/>
      </c>
      <c r="L206" s="20" t="inlineStr">
        <is>
          <t>Monthly Periodic Review / Minimum Batch Reorder | Avoid Excess Stock</t>
        </is>
      </c>
    </row>
    <row r="207">
      <c r="B207" s="9" t="inlineStr">
        <is>
          <t>FOODS_1_056</t>
        </is>
      </c>
      <c r="C207" s="18" t="inlineStr">
        <is>
          <t>C</t>
        </is>
      </c>
      <c r="D207" s="12" t="n">
        <v>0.2373</v>
      </c>
      <c r="E207" s="12" t="n">
        <v>0.6669</v>
      </c>
      <c r="F207" s="9" t="n">
        <v>7</v>
      </c>
      <c r="G207" s="25" t="n">
        <v>0.9</v>
      </c>
      <c r="H207" s="26" t="n">
        <v>1.28</v>
      </c>
      <c r="I207" s="12">
        <f>ROUND(D207*F207, 2)</f>
        <v/>
      </c>
      <c r="J207" s="27">
        <f>ROUND(H207*E207*SQRT(F207), 2)</f>
        <v/>
      </c>
      <c r="K207" s="27">
        <f>ROUND(I207+J207, 2)</f>
        <v/>
      </c>
      <c r="L207" s="20" t="inlineStr">
        <is>
          <t>Monthly Periodic Review / Minimum Batch Reorder | Avoid Excess Stock</t>
        </is>
      </c>
    </row>
    <row r="208">
      <c r="B208" s="9" t="inlineStr">
        <is>
          <t>FOODS_1_008</t>
        </is>
      </c>
      <c r="C208" s="18" t="inlineStr">
        <is>
          <t>C</t>
        </is>
      </c>
      <c r="D208" s="12" t="n">
        <v>0.2331</v>
      </c>
      <c r="E208" s="12" t="n">
        <v>0.6929</v>
      </c>
      <c r="F208" s="9" t="n">
        <v>7</v>
      </c>
      <c r="G208" s="25" t="n">
        <v>0.9</v>
      </c>
      <c r="H208" s="26" t="n">
        <v>1.28</v>
      </c>
      <c r="I208" s="12">
        <f>ROUND(D208*F208, 2)</f>
        <v/>
      </c>
      <c r="J208" s="27">
        <f>ROUND(H208*E208*SQRT(F208), 2)</f>
        <v/>
      </c>
      <c r="K208" s="27">
        <f>ROUND(I208+J208, 2)</f>
        <v/>
      </c>
      <c r="L208" s="20" t="inlineStr">
        <is>
          <t>Monthly Periodic Review / Minimum Batch Reorder | Avoid Excess Stock</t>
        </is>
      </c>
    </row>
    <row r="209">
      <c r="B209" s="9" t="inlineStr">
        <is>
          <t>FOODS_1_057</t>
        </is>
      </c>
      <c r="C209" s="18" t="inlineStr">
        <is>
          <t>C</t>
        </is>
      </c>
      <c r="D209" s="12" t="n">
        <v>0.2279</v>
      </c>
      <c r="E209" s="12" t="n">
        <v>0.6215000000000001</v>
      </c>
      <c r="F209" s="9" t="n">
        <v>7</v>
      </c>
      <c r="G209" s="25" t="n">
        <v>0.9</v>
      </c>
      <c r="H209" s="26" t="n">
        <v>1.28</v>
      </c>
      <c r="I209" s="12">
        <f>ROUND(D209*F209, 2)</f>
        <v/>
      </c>
      <c r="J209" s="27">
        <f>ROUND(H209*E209*SQRT(F209), 2)</f>
        <v/>
      </c>
      <c r="K209" s="27">
        <f>ROUND(I209+J209, 2)</f>
        <v/>
      </c>
      <c r="L209" s="20" t="inlineStr">
        <is>
          <t>Monthly Periodic Review / Minimum Batch Reorder | Avoid Excess Stock</t>
        </is>
      </c>
    </row>
    <row r="210">
      <c r="B210" s="9" t="inlineStr">
        <is>
          <t>FOODS_1_029</t>
        </is>
      </c>
      <c r="C210" s="18" t="inlineStr">
        <is>
          <t>C</t>
        </is>
      </c>
      <c r="D210" s="12" t="n">
        <v>0.2169</v>
      </c>
      <c r="E210" s="12" t="n">
        <v>0.5474</v>
      </c>
      <c r="F210" s="9" t="n">
        <v>7</v>
      </c>
      <c r="G210" s="25" t="n">
        <v>0.9</v>
      </c>
      <c r="H210" s="26" t="n">
        <v>1.28</v>
      </c>
      <c r="I210" s="12">
        <f>ROUND(D210*F210, 2)</f>
        <v/>
      </c>
      <c r="J210" s="27">
        <f>ROUND(H210*E210*SQRT(F210), 2)</f>
        <v/>
      </c>
      <c r="K210" s="27">
        <f>ROUND(I210+J210, 2)</f>
        <v/>
      </c>
      <c r="L210" s="20" t="inlineStr">
        <is>
          <t>Monthly Periodic Review / Minimum Batch Reorder | Avoid Excess Stock</t>
        </is>
      </c>
    </row>
    <row r="211">
      <c r="B211" s="9" t="inlineStr">
        <is>
          <t>FOODS_1_179</t>
        </is>
      </c>
      <c r="C211" s="18" t="inlineStr">
        <is>
          <t>C</t>
        </is>
      </c>
      <c r="D211" s="12" t="n">
        <v>0.2138</v>
      </c>
      <c r="E211" s="12" t="n">
        <v>0.9718</v>
      </c>
      <c r="F211" s="9" t="n">
        <v>7</v>
      </c>
      <c r="G211" s="25" t="n">
        <v>0.9</v>
      </c>
      <c r="H211" s="26" t="n">
        <v>1.28</v>
      </c>
      <c r="I211" s="12">
        <f>ROUND(D211*F211, 2)</f>
        <v/>
      </c>
      <c r="J211" s="27">
        <f>ROUND(H211*E211*SQRT(F211), 2)</f>
        <v/>
      </c>
      <c r="K211" s="27">
        <f>ROUND(I211+J211, 2)</f>
        <v/>
      </c>
      <c r="L211" s="20" t="inlineStr">
        <is>
          <t>Monthly Periodic Review / Minimum Batch Reorder | Avoid Excess Stock</t>
        </is>
      </c>
    </row>
    <row r="212">
      <c r="B212" s="9" t="inlineStr">
        <is>
          <t>FOODS_1_095</t>
        </is>
      </c>
      <c r="C212" s="18" t="inlineStr">
        <is>
          <t>C</t>
        </is>
      </c>
      <c r="D212" s="12" t="n">
        <v>0.2086</v>
      </c>
      <c r="E212" s="12" t="n">
        <v>0.6966</v>
      </c>
      <c r="F212" s="9" t="n">
        <v>7</v>
      </c>
      <c r="G212" s="25" t="n">
        <v>0.9</v>
      </c>
      <c r="H212" s="26" t="n">
        <v>1.28</v>
      </c>
      <c r="I212" s="12">
        <f>ROUND(D212*F212, 2)</f>
        <v/>
      </c>
      <c r="J212" s="27">
        <f>ROUND(H212*E212*SQRT(F212), 2)</f>
        <v/>
      </c>
      <c r="K212" s="27">
        <f>ROUND(I212+J212, 2)</f>
        <v/>
      </c>
      <c r="L212" s="20" t="inlineStr">
        <is>
          <t>Monthly Periodic Review / Minimum Batch Reorder | Avoid Excess Stock</t>
        </is>
      </c>
    </row>
    <row r="213">
      <c r="B213" s="9" t="inlineStr">
        <is>
          <t>FOODS_1_093</t>
        </is>
      </c>
      <c r="C213" s="18" t="inlineStr">
        <is>
          <t>C</t>
        </is>
      </c>
      <c r="D213" s="12" t="n">
        <v>0.1945</v>
      </c>
      <c r="E213" s="12" t="n">
        <v>0.6237</v>
      </c>
      <c r="F213" s="9" t="n">
        <v>7</v>
      </c>
      <c r="G213" s="25" t="n">
        <v>0.9</v>
      </c>
      <c r="H213" s="26" t="n">
        <v>1.28</v>
      </c>
      <c r="I213" s="12">
        <f>ROUND(D213*F213, 2)</f>
        <v/>
      </c>
      <c r="J213" s="27">
        <f>ROUND(H213*E213*SQRT(F213), 2)</f>
        <v/>
      </c>
      <c r="K213" s="27">
        <f>ROUND(I213+J213, 2)</f>
        <v/>
      </c>
      <c r="L213" s="20" t="inlineStr">
        <is>
          <t>Monthly Periodic Review / Minimum Batch Reorder | Avoid Excess Stock</t>
        </is>
      </c>
    </row>
    <row r="214">
      <c r="B214" s="9" t="inlineStr">
        <is>
          <t>FOODS_1_089</t>
        </is>
      </c>
      <c r="C214" s="18" t="inlineStr">
        <is>
          <t>C</t>
        </is>
      </c>
      <c r="D214" s="12" t="n">
        <v>0.1903</v>
      </c>
      <c r="E214" s="12" t="n">
        <v>0.5896</v>
      </c>
      <c r="F214" s="9" t="n">
        <v>7</v>
      </c>
      <c r="G214" s="25" t="n">
        <v>0.9</v>
      </c>
      <c r="H214" s="26" t="n">
        <v>1.28</v>
      </c>
      <c r="I214" s="12">
        <f>ROUND(D214*F214, 2)</f>
        <v/>
      </c>
      <c r="J214" s="27">
        <f>ROUND(H214*E214*SQRT(F214), 2)</f>
        <v/>
      </c>
      <c r="K214" s="27">
        <f>ROUND(I214+J214, 2)</f>
        <v/>
      </c>
      <c r="L214" s="20" t="inlineStr">
        <is>
          <t>Monthly Periodic Review / Minimum Batch Reorder | Avoid Excess Stock</t>
        </is>
      </c>
    </row>
    <row r="215">
      <c r="B215" s="9" t="inlineStr">
        <is>
          <t>FOODS_1_191</t>
        </is>
      </c>
      <c r="C215" s="18" t="inlineStr">
        <is>
          <t>C</t>
        </is>
      </c>
      <c r="D215" s="12" t="n">
        <v>0.1835</v>
      </c>
      <c r="E215" s="12" t="n">
        <v>0.5317</v>
      </c>
      <c r="F215" s="9" t="n">
        <v>7</v>
      </c>
      <c r="G215" s="25" t="n">
        <v>0.9</v>
      </c>
      <c r="H215" s="26" t="n">
        <v>1.28</v>
      </c>
      <c r="I215" s="12">
        <f>ROUND(D215*F215, 2)</f>
        <v/>
      </c>
      <c r="J215" s="27">
        <f>ROUND(H215*E215*SQRT(F215), 2)</f>
        <v/>
      </c>
      <c r="K215" s="27">
        <f>ROUND(I215+J215, 2)</f>
        <v/>
      </c>
      <c r="L215" s="20" t="inlineStr">
        <is>
          <t>Monthly Periodic Review / Minimum Batch Reorder | Avoid Excess Stock</t>
        </is>
      </c>
    </row>
    <row r="216">
      <c r="B216" s="9" t="inlineStr">
        <is>
          <t>FOODS_1_212</t>
        </is>
      </c>
      <c r="C216" s="18" t="inlineStr">
        <is>
          <t>C</t>
        </is>
      </c>
      <c r="D216" s="12" t="n">
        <v>0.1756</v>
      </c>
      <c r="E216" s="12" t="n">
        <v>0.4889</v>
      </c>
      <c r="F216" s="9" t="n">
        <v>7</v>
      </c>
      <c r="G216" s="25" t="n">
        <v>0.9</v>
      </c>
      <c r="H216" s="26" t="n">
        <v>1.28</v>
      </c>
      <c r="I216" s="12">
        <f>ROUND(D216*F216, 2)</f>
        <v/>
      </c>
      <c r="J216" s="27">
        <f>ROUND(H216*E216*SQRT(F216), 2)</f>
        <v/>
      </c>
      <c r="K216" s="27">
        <f>ROUND(I216+J216, 2)</f>
        <v/>
      </c>
      <c r="L216" s="20" t="inlineStr">
        <is>
          <t>Monthly Periodic Review / Minimum Batch Reorder | Avoid Excess Stock</t>
        </is>
      </c>
    </row>
    <row r="217">
      <c r="B217" s="9" t="inlineStr">
        <is>
          <t>FOODS_1_107</t>
        </is>
      </c>
      <c r="C217" s="18" t="inlineStr">
        <is>
          <t>C</t>
        </is>
      </c>
      <c r="D217" s="12" t="n">
        <v>0.1725</v>
      </c>
      <c r="E217" s="12" t="n">
        <v>0.6192</v>
      </c>
      <c r="F217" s="9" t="n">
        <v>7</v>
      </c>
      <c r="G217" s="25" t="n">
        <v>0.9</v>
      </c>
      <c r="H217" s="26" t="n">
        <v>1.28</v>
      </c>
      <c r="I217" s="12">
        <f>ROUND(D217*F217, 2)</f>
        <v/>
      </c>
      <c r="J217" s="27">
        <f>ROUND(H217*E217*SQRT(F217), 2)</f>
        <v/>
      </c>
      <c r="K217" s="27">
        <f>ROUND(I217+J217, 2)</f>
        <v/>
      </c>
      <c r="L217" s="20" t="inlineStr">
        <is>
          <t>Monthly Periodic Review / Minimum Batch Reorder | Avoid Excess Stock</t>
        </is>
      </c>
    </row>
    <row r="218">
      <c r="B218" s="9" t="inlineStr">
        <is>
          <t>FOODS_1_148</t>
        </is>
      </c>
      <c r="C218" s="18" t="inlineStr">
        <is>
          <t>C</t>
        </is>
      </c>
      <c r="D218" s="12" t="n">
        <v>0.1709</v>
      </c>
      <c r="E218" s="12" t="n">
        <v>0.5727</v>
      </c>
      <c r="F218" s="9" t="n">
        <v>7</v>
      </c>
      <c r="G218" s="25" t="n">
        <v>0.9</v>
      </c>
      <c r="H218" s="26" t="n">
        <v>1.28</v>
      </c>
      <c r="I218" s="12">
        <f>ROUND(D218*F218, 2)</f>
        <v/>
      </c>
      <c r="J218" s="27">
        <f>ROUND(H218*E218*SQRT(F218), 2)</f>
        <v/>
      </c>
      <c r="K218" s="27">
        <f>ROUND(I218+J218, 2)</f>
        <v/>
      </c>
      <c r="L218" s="20" t="inlineStr">
        <is>
          <t>Monthly Periodic Review / Minimum Batch Reorder | Avoid Excess Stock</t>
        </is>
      </c>
    </row>
    <row r="219">
      <c r="B219" s="9" t="inlineStr">
        <is>
          <t>FOODS_1_010</t>
        </is>
      </c>
      <c r="C219" s="18" t="inlineStr">
        <is>
          <t>C</t>
        </is>
      </c>
      <c r="D219" s="12" t="n">
        <v>0.1662</v>
      </c>
      <c r="E219" s="12" t="n">
        <v>0.5579</v>
      </c>
      <c r="F219" s="9" t="n">
        <v>7</v>
      </c>
      <c r="G219" s="25" t="n">
        <v>0.9</v>
      </c>
      <c r="H219" s="26" t="n">
        <v>1.28</v>
      </c>
      <c r="I219" s="12">
        <f>ROUND(D219*F219, 2)</f>
        <v/>
      </c>
      <c r="J219" s="27">
        <f>ROUND(H219*E219*SQRT(F219), 2)</f>
        <v/>
      </c>
      <c r="K219" s="27">
        <f>ROUND(I219+J219, 2)</f>
        <v/>
      </c>
      <c r="L219" s="20" t="inlineStr">
        <is>
          <t>Monthly Periodic Review / Minimum Batch Reorder | Avoid Excess Stock</t>
        </is>
      </c>
    </row>
    <row r="220">
      <c r="B220" s="9" t="inlineStr">
        <is>
          <t>FOODS_1_111</t>
        </is>
      </c>
      <c r="C220" s="18" t="inlineStr">
        <is>
          <t>C</t>
        </is>
      </c>
      <c r="D220" s="12" t="n">
        <v>0.1652</v>
      </c>
      <c r="E220" s="12" t="n">
        <v>0.5123</v>
      </c>
      <c r="F220" s="9" t="n">
        <v>7</v>
      </c>
      <c r="G220" s="25" t="n">
        <v>0.9</v>
      </c>
      <c r="H220" s="26" t="n">
        <v>1.28</v>
      </c>
      <c r="I220" s="12">
        <f>ROUND(D220*F220, 2)</f>
        <v/>
      </c>
      <c r="J220" s="27">
        <f>ROUND(H220*E220*SQRT(F220), 2)</f>
        <v/>
      </c>
      <c r="K220" s="27">
        <f>ROUND(I220+J220, 2)</f>
        <v/>
      </c>
      <c r="L220" s="20" t="inlineStr">
        <is>
          <t>Monthly Periodic Review / Minimum Batch Reorder | Avoid Excess Stock</t>
        </is>
      </c>
    </row>
    <row r="221">
      <c r="B221" s="9" t="inlineStr">
        <is>
          <t>FOODS_1_211</t>
        </is>
      </c>
      <c r="C221" s="18" t="inlineStr">
        <is>
          <t>C</t>
        </is>
      </c>
      <c r="D221" s="12" t="n">
        <v>0.1605</v>
      </c>
      <c r="E221" s="12" t="n">
        <v>0.5601</v>
      </c>
      <c r="F221" s="9" t="n">
        <v>7</v>
      </c>
      <c r="G221" s="25" t="n">
        <v>0.9</v>
      </c>
      <c r="H221" s="26" t="n">
        <v>1.28</v>
      </c>
      <c r="I221" s="12">
        <f>ROUND(D221*F221, 2)</f>
        <v/>
      </c>
      <c r="J221" s="27">
        <f>ROUND(H221*E221*SQRT(F221), 2)</f>
        <v/>
      </c>
      <c r="K221" s="27">
        <f>ROUND(I221+J221, 2)</f>
        <v/>
      </c>
      <c r="L221" s="20" t="inlineStr">
        <is>
          <t>Monthly Periodic Review / Minimum Batch Reorder | Avoid Excess Stock</t>
        </is>
      </c>
    </row>
    <row r="222">
      <c r="B222" s="9" t="inlineStr">
        <is>
          <t>FOODS_1_077</t>
        </is>
      </c>
      <c r="C222" s="18" t="inlineStr">
        <is>
          <t>C</t>
        </is>
      </c>
      <c r="D222" s="12" t="n">
        <v>0.1469</v>
      </c>
      <c r="E222" s="12" t="n">
        <v>0.5009</v>
      </c>
      <c r="F222" s="9" t="n">
        <v>7</v>
      </c>
      <c r="G222" s="25" t="n">
        <v>0.9</v>
      </c>
      <c r="H222" s="26" t="n">
        <v>1.28</v>
      </c>
      <c r="I222" s="12">
        <f>ROUND(D222*F222, 2)</f>
        <v/>
      </c>
      <c r="J222" s="27">
        <f>ROUND(H222*E222*SQRT(F222), 2)</f>
        <v/>
      </c>
      <c r="K222" s="27">
        <f>ROUND(I222+J222, 2)</f>
        <v/>
      </c>
      <c r="L222" s="20" t="inlineStr">
        <is>
          <t>Monthly Periodic Review / Minimum Batch Reorder | Avoid Excess Stock</t>
        </is>
      </c>
    </row>
    <row r="223">
      <c r="B223" s="9" t="inlineStr">
        <is>
          <t>FOODS_1_157</t>
        </is>
      </c>
      <c r="C223" s="18" t="inlineStr">
        <is>
          <t>C</t>
        </is>
      </c>
      <c r="D223" s="12" t="n">
        <v>0.139</v>
      </c>
      <c r="E223" s="12" t="n">
        <v>0.458</v>
      </c>
      <c r="F223" s="9" t="n">
        <v>7</v>
      </c>
      <c r="G223" s="25" t="n">
        <v>0.9</v>
      </c>
      <c r="H223" s="26" t="n">
        <v>1.28</v>
      </c>
      <c r="I223" s="12">
        <f>ROUND(D223*F223, 2)</f>
        <v/>
      </c>
      <c r="J223" s="27">
        <f>ROUND(H223*E223*SQRT(F223), 2)</f>
        <v/>
      </c>
      <c r="K223" s="27">
        <f>ROUND(I223+J223, 2)</f>
        <v/>
      </c>
      <c r="L223" s="20" t="inlineStr">
        <is>
          <t>Monthly Periodic Review / Minimum Batch Reorder | Avoid Excess Stock</t>
        </is>
      </c>
    </row>
    <row r="224">
      <c r="B224" s="9" t="inlineStr">
        <is>
          <t>FOODS_1_160</t>
        </is>
      </c>
      <c r="C224" s="18" t="inlineStr">
        <is>
          <t>C</t>
        </is>
      </c>
      <c r="D224" s="12" t="n">
        <v>0.1213</v>
      </c>
      <c r="E224" s="12" t="n">
        <v>0.4481</v>
      </c>
      <c r="F224" s="9" t="n">
        <v>7</v>
      </c>
      <c r="G224" s="25" t="n">
        <v>0.9</v>
      </c>
      <c r="H224" s="26" t="n">
        <v>1.28</v>
      </c>
      <c r="I224" s="12">
        <f>ROUND(D224*F224, 2)</f>
        <v/>
      </c>
      <c r="J224" s="27">
        <f>ROUND(H224*E224*SQRT(F224), 2)</f>
        <v/>
      </c>
      <c r="K224" s="27">
        <f>ROUND(I224+J224, 2)</f>
        <v/>
      </c>
      <c r="L224" s="20" t="inlineStr">
        <is>
          <t>Monthly Periodic Review / Minimum Batch Reorder | Avoid Excess Stock</t>
        </is>
      </c>
    </row>
    <row r="225">
      <c r="B225" s="9" t="inlineStr">
        <is>
          <t>FOODS_1_159</t>
        </is>
      </c>
      <c r="C225" s="18" t="inlineStr">
        <is>
          <t>C</t>
        </is>
      </c>
      <c r="D225" s="12" t="n">
        <v>0.1145</v>
      </c>
      <c r="E225" s="12" t="n">
        <v>0.4065</v>
      </c>
      <c r="F225" s="9" t="n">
        <v>7</v>
      </c>
      <c r="G225" s="25" t="n">
        <v>0.9</v>
      </c>
      <c r="H225" s="26" t="n">
        <v>1.28</v>
      </c>
      <c r="I225" s="12">
        <f>ROUND(D225*F225, 2)</f>
        <v/>
      </c>
      <c r="J225" s="27">
        <f>ROUND(H225*E225*SQRT(F225), 2)</f>
        <v/>
      </c>
      <c r="K225" s="27">
        <f>ROUND(I225+J225, 2)</f>
        <v/>
      </c>
      <c r="L225" s="20" t="inlineStr">
        <is>
          <t>Monthly Periodic Review / Minimum Batch Reorder | Avoid Excess Stock</t>
        </is>
      </c>
    </row>
    <row r="226">
      <c r="B226" s="9" t="inlineStr">
        <is>
          <t>FOODS_1_164</t>
        </is>
      </c>
      <c r="C226" s="18" t="inlineStr">
        <is>
          <t>C</t>
        </is>
      </c>
      <c r="D226" s="12" t="n">
        <v>0.1025</v>
      </c>
      <c r="E226" s="12" t="n">
        <v>0.4818</v>
      </c>
      <c r="F226" s="9" t="n">
        <v>7</v>
      </c>
      <c r="G226" s="25" t="n">
        <v>0.9</v>
      </c>
      <c r="H226" s="26" t="n">
        <v>1.28</v>
      </c>
      <c r="I226" s="12">
        <f>ROUND(D226*F226, 2)</f>
        <v/>
      </c>
      <c r="J226" s="27">
        <f>ROUND(H226*E226*SQRT(F226), 2)</f>
        <v/>
      </c>
      <c r="K226" s="27">
        <f>ROUND(I226+J226, 2)</f>
        <v/>
      </c>
      <c r="L226" s="20" t="inlineStr">
        <is>
          <t>Monthly Periodic Review / Minimum Batch Reorder | Avoid Excess Stock</t>
        </is>
      </c>
    </row>
    <row r="227">
      <c r="B227" s="9" t="inlineStr">
        <is>
          <t>FOODS_1_022</t>
        </is>
      </c>
      <c r="C227" s="18" t="inlineStr">
        <is>
          <t>C</t>
        </is>
      </c>
      <c r="D227" s="12" t="n">
        <v>0.0653</v>
      </c>
      <c r="E227" s="12" t="n">
        <v>0.29</v>
      </c>
      <c r="F227" s="9" t="n">
        <v>7</v>
      </c>
      <c r="G227" s="25" t="n">
        <v>0.9</v>
      </c>
      <c r="H227" s="26" t="n">
        <v>1.28</v>
      </c>
      <c r="I227" s="12">
        <f>ROUND(D227*F227, 2)</f>
        <v/>
      </c>
      <c r="J227" s="27">
        <f>ROUND(H227*E227*SQRT(F227), 2)</f>
        <v/>
      </c>
      <c r="K227" s="27">
        <f>ROUND(I227+J227, 2)</f>
        <v/>
      </c>
      <c r="L227" s="20" t="inlineStr">
        <is>
          <t>Monthly Periodic Review / Minimum Batch Reorder | Avoid Excess Stock</t>
        </is>
      </c>
    </row>
    <row r="228">
      <c r="B228" s="9" t="inlineStr">
        <is>
          <t>FOODS_1_098</t>
        </is>
      </c>
      <c r="C228" s="18" t="inlineStr">
        <is>
          <t>C</t>
        </is>
      </c>
      <c r="D228" s="12" t="n">
        <v>0.0648</v>
      </c>
      <c r="E228" s="12" t="n">
        <v>0.3687</v>
      </c>
      <c r="F228" s="9" t="n">
        <v>7</v>
      </c>
      <c r="G228" s="25" t="n">
        <v>0.9</v>
      </c>
      <c r="H228" s="26" t="n">
        <v>1.28</v>
      </c>
      <c r="I228" s="12">
        <f>ROUND(D228*F228, 2)</f>
        <v/>
      </c>
      <c r="J228" s="27">
        <f>ROUND(H228*E228*SQRT(F228), 2)</f>
        <v/>
      </c>
      <c r="K228" s="27">
        <f>ROUND(I228+J228, 2)</f>
        <v/>
      </c>
      <c r="L228" s="20" t="inlineStr">
        <is>
          <t>Monthly Periodic Review / Minimum Batch Reorder | Avoid Excess Stock</t>
        </is>
      </c>
    </row>
    <row r="229">
      <c r="B229" s="9" t="inlineStr">
        <is>
          <t>FOODS_1_084</t>
        </is>
      </c>
      <c r="C229" s="18" t="inlineStr">
        <is>
          <t>C</t>
        </is>
      </c>
      <c r="D229" s="12" t="n">
        <v>0.0554</v>
      </c>
      <c r="E229" s="12" t="n">
        <v>0.2765</v>
      </c>
      <c r="F229" s="9" t="n">
        <v>7</v>
      </c>
      <c r="G229" s="25" t="n">
        <v>0.9</v>
      </c>
      <c r="H229" s="26" t="n">
        <v>1.28</v>
      </c>
      <c r="I229" s="12">
        <f>ROUND(D229*F229, 2)</f>
        <v/>
      </c>
      <c r="J229" s="27">
        <f>ROUND(H229*E229*SQRT(F229), 2)</f>
        <v/>
      </c>
      <c r="K229" s="27">
        <f>ROUND(I229+J229, 2)</f>
        <v/>
      </c>
      <c r="L229" s="20" t="inlineStr">
        <is>
          <t>Monthly Periodic Review / Minimum Batch Reorder | Avoid Excess Stock</t>
        </is>
      </c>
    </row>
    <row r="230">
      <c r="B230" s="9" t="inlineStr">
        <is>
          <t>FOODS_1_079</t>
        </is>
      </c>
      <c r="C230" s="18" t="inlineStr">
        <is>
          <t>C</t>
        </is>
      </c>
      <c r="D230" s="12" t="n">
        <v>0.0429</v>
      </c>
      <c r="E230" s="12" t="n">
        <v>0.2652</v>
      </c>
      <c r="F230" s="9" t="n">
        <v>7</v>
      </c>
      <c r="G230" s="25" t="n">
        <v>0.9</v>
      </c>
      <c r="H230" s="26" t="n">
        <v>1.28</v>
      </c>
      <c r="I230" s="12">
        <f>ROUND(D230*F230, 2)</f>
        <v/>
      </c>
      <c r="J230" s="27">
        <f>ROUND(H230*E230*SQRT(F230), 2)</f>
        <v/>
      </c>
      <c r="K230" s="27">
        <f>ROUND(I230+J230, 2)</f>
        <v/>
      </c>
      <c r="L230" s="20" t="inlineStr">
        <is>
          <t>Monthly Periodic Review / Minimum Batch Reorder | Avoid Excess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2026-09-23T07:27:43Z</dcterms:created>
  <dcterms:modified xsi:type="dcterms:W3CDTF">2026-09-23T07:27:43Z</dcterms:modified>
</cp:coreProperties>
</file>